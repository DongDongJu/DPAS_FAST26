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ink/ink1.xml" ContentType="application/inkml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8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0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Ping-Xiang Chen\Downloads\"/>
    </mc:Choice>
  </mc:AlternateContent>
  <xr:revisionPtr revIDLastSave="0" documentId="13_ncr:1_{1879A3F5-BED4-43B4-BBBB-4D237F65E88A}" xr6:coauthVersionLast="47" xr6:coauthVersionMax="47" xr10:uidLastSave="{00000000-0000-0000-0000-000000000000}"/>
  <bookViews>
    <workbookView xWindow="-93" yWindow="-93" windowWidth="25786" windowHeight="14586" firstSheet="5" activeTab="8" xr2:uid="{136C3E8C-FC76-B24F-B205-E2CBFBFF0C9E}"/>
  </bookViews>
  <sheets>
    <sheet name="4KRR Optane (nvme1n1)" sheetId="115" r:id="rId1"/>
    <sheet name="4KRR ZSSD (nvme2n1)" sheetId="98" r:id="rId2"/>
    <sheet name="4KRR P41 (nvme0n1)" sheetId="99" r:id="rId3"/>
    <sheet name="8-128KRR Optane (nvme1n1)" sheetId="116" r:id="rId4"/>
    <sheet name="8-128KRR ZSSD (nvme2n1)" sheetId="101" r:id="rId5"/>
    <sheet name="8-128KRR P41 (nvme0n1)" sheetId="102" r:id="rId6"/>
    <sheet name="Optane (nvme1n1)" sheetId="117" r:id="rId7"/>
    <sheet name="P41 (nvme0n1)" sheetId="118" r:id="rId8"/>
    <sheet name="983 (nvme2n1)" sheetId="119" r:id="rId9"/>
    <sheet name="DPAS BREAK" sheetId="1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17" l="1"/>
  <c r="R3" i="117"/>
  <c r="R4" i="117"/>
  <c r="R5" i="117"/>
  <c r="R6" i="117"/>
  <c r="R7" i="117"/>
  <c r="R8" i="117"/>
  <c r="R9" i="117"/>
  <c r="R10" i="117"/>
  <c r="R11" i="117"/>
  <c r="R12" i="117"/>
  <c r="R13" i="117"/>
  <c r="R14" i="117"/>
  <c r="R15" i="117"/>
  <c r="R16" i="117"/>
  <c r="R17" i="117"/>
  <c r="F22" i="117" s="1"/>
  <c r="F30" i="117" s="1"/>
  <c r="R18" i="117"/>
  <c r="R19" i="117"/>
  <c r="R20" i="117"/>
  <c r="R21" i="117"/>
  <c r="R22" i="117"/>
  <c r="R23" i="117"/>
  <c r="R24" i="117"/>
  <c r="R25" i="117"/>
  <c r="R26" i="117"/>
  <c r="R27" i="117"/>
  <c r="R28" i="117"/>
  <c r="R29" i="117"/>
  <c r="R30" i="117"/>
  <c r="R31" i="117"/>
  <c r="R32" i="117"/>
  <c r="R33" i="117"/>
  <c r="R34" i="117"/>
  <c r="R35" i="117"/>
  <c r="R36" i="117"/>
  <c r="R37" i="117"/>
  <c r="Q2" i="117"/>
  <c r="Q3" i="117"/>
  <c r="Q4" i="117"/>
  <c r="Q5" i="117"/>
  <c r="Q6" i="117"/>
  <c r="Q7" i="117"/>
  <c r="Q8" i="117"/>
  <c r="Q9" i="117"/>
  <c r="Q10" i="117"/>
  <c r="Q11" i="117"/>
  <c r="Q12" i="117"/>
  <c r="Q13" i="117"/>
  <c r="Q14" i="117"/>
  <c r="Q15" i="117"/>
  <c r="Q16" i="117"/>
  <c r="Q17" i="117"/>
  <c r="Q18" i="117"/>
  <c r="Q19" i="117"/>
  <c r="Q20" i="117"/>
  <c r="Q21" i="117"/>
  <c r="Q22" i="117"/>
  <c r="Q23" i="117"/>
  <c r="F5" i="117" s="1"/>
  <c r="Q24" i="117"/>
  <c r="Q25" i="117"/>
  <c r="Q26" i="117"/>
  <c r="Q27" i="117"/>
  <c r="Q28" i="117"/>
  <c r="Q29" i="117"/>
  <c r="Q30" i="117"/>
  <c r="Q31" i="117"/>
  <c r="Q32" i="117"/>
  <c r="Q33" i="117"/>
  <c r="D7" i="117" s="1"/>
  <c r="Q34" i="117"/>
  <c r="Q35" i="117"/>
  <c r="Q36" i="117"/>
  <c r="Q37" i="117"/>
  <c r="B3" i="117"/>
  <c r="B12" i="117" s="1"/>
  <c r="D6" i="117"/>
  <c r="S9" i="117"/>
  <c r="S10" i="117"/>
  <c r="S26" i="117"/>
  <c r="S5" i="117"/>
  <c r="S13" i="117"/>
  <c r="F6" i="120"/>
  <c r="F7" i="120"/>
  <c r="F8" i="120"/>
  <c r="D16" i="120" s="1"/>
  <c r="F9" i="120"/>
  <c r="B17" i="120" s="1"/>
  <c r="F10" i="120"/>
  <c r="D18" i="120" s="1"/>
  <c r="F11" i="120"/>
  <c r="B19" i="120" s="1"/>
  <c r="B14" i="120"/>
  <c r="C14" i="120"/>
  <c r="D14" i="120"/>
  <c r="E14" i="120"/>
  <c r="B15" i="120"/>
  <c r="C15" i="120"/>
  <c r="D15" i="120"/>
  <c r="E15" i="120"/>
  <c r="B16" i="120"/>
  <c r="C16" i="120"/>
  <c r="C17" i="120"/>
  <c r="D17" i="120"/>
  <c r="E17" i="120"/>
  <c r="B18" i="120"/>
  <c r="C18" i="120"/>
  <c r="F24" i="120"/>
  <c r="B32" i="120" s="1"/>
  <c r="B38" i="120" s="1"/>
  <c r="F25" i="120"/>
  <c r="F26" i="120"/>
  <c r="B34" i="120" s="1"/>
  <c r="F27" i="120"/>
  <c r="B35" i="120" s="1"/>
  <c r="F28" i="120"/>
  <c r="B36" i="120" s="1"/>
  <c r="F29" i="120"/>
  <c r="B37" i="120" s="1"/>
  <c r="D32" i="120"/>
  <c r="E32" i="120"/>
  <c r="B33" i="120"/>
  <c r="C33" i="120"/>
  <c r="D33" i="120"/>
  <c r="E33" i="120"/>
  <c r="D35" i="120"/>
  <c r="E35" i="120"/>
  <c r="E37" i="120"/>
  <c r="Q2" i="119"/>
  <c r="S2" i="119" s="1"/>
  <c r="T2" i="119"/>
  <c r="U2" i="119"/>
  <c r="V2" i="119"/>
  <c r="W2" i="119"/>
  <c r="W41" i="119" s="1"/>
  <c r="X2" i="119"/>
  <c r="X41" i="119" s="1"/>
  <c r="Y2" i="119"/>
  <c r="Y41" i="119" s="1"/>
  <c r="Z2" i="119"/>
  <c r="AA2" i="119"/>
  <c r="AB2" i="119"/>
  <c r="AC2" i="119"/>
  <c r="T3" i="119"/>
  <c r="U3" i="119"/>
  <c r="U42" i="119" s="1"/>
  <c r="V3" i="119"/>
  <c r="W3" i="119"/>
  <c r="X3" i="119"/>
  <c r="Y3" i="119"/>
  <c r="Z3" i="119"/>
  <c r="AA3" i="119"/>
  <c r="AB3" i="119"/>
  <c r="AB42" i="119" s="1"/>
  <c r="AC3" i="119"/>
  <c r="AC42" i="119" s="1"/>
  <c r="T4" i="119"/>
  <c r="U4" i="119"/>
  <c r="U43" i="119" s="1"/>
  <c r="AD4" i="119" s="1"/>
  <c r="V4" i="119"/>
  <c r="W4" i="119"/>
  <c r="W43" i="119" s="1"/>
  <c r="X4" i="119"/>
  <c r="X43" i="119" s="1"/>
  <c r="Y4" i="119"/>
  <c r="Z4" i="119"/>
  <c r="R4" i="119" s="1"/>
  <c r="E20" i="119" s="1"/>
  <c r="AA4" i="119"/>
  <c r="AB4" i="119"/>
  <c r="AC4" i="119"/>
  <c r="AC43" i="119" s="1"/>
  <c r="AE4" i="119"/>
  <c r="B5" i="119"/>
  <c r="B14" i="119" s="1"/>
  <c r="Q5" i="119"/>
  <c r="F2" i="119" s="1"/>
  <c r="S5" i="119"/>
  <c r="T5" i="119"/>
  <c r="U5" i="119"/>
  <c r="V5" i="119"/>
  <c r="W5" i="119"/>
  <c r="X5" i="119"/>
  <c r="X44" i="119" s="1"/>
  <c r="Y5" i="119"/>
  <c r="Y44" i="119" s="1"/>
  <c r="Z5" i="119"/>
  <c r="Z44" i="119" s="1"/>
  <c r="AA5" i="119"/>
  <c r="AA44" i="119" s="1"/>
  <c r="AB5" i="119"/>
  <c r="AC5" i="119"/>
  <c r="T6" i="119"/>
  <c r="U6" i="119"/>
  <c r="V6" i="119"/>
  <c r="V45" i="119" s="1"/>
  <c r="W6" i="119"/>
  <c r="X6" i="119"/>
  <c r="Y6" i="119"/>
  <c r="Z6" i="119"/>
  <c r="R6" i="119" s="1"/>
  <c r="G20" i="119" s="1"/>
  <c r="G28" i="119" s="1"/>
  <c r="AA6" i="119"/>
  <c r="AB6" i="119"/>
  <c r="AC6" i="119"/>
  <c r="T7" i="119"/>
  <c r="Q7" i="119" s="1"/>
  <c r="U7" i="119"/>
  <c r="U46" i="119" s="1"/>
  <c r="V7" i="119"/>
  <c r="W7" i="119"/>
  <c r="X7" i="119"/>
  <c r="X45" i="119" s="1"/>
  <c r="Y7" i="119"/>
  <c r="Z7" i="119"/>
  <c r="R7" i="119" s="1"/>
  <c r="AA7" i="119"/>
  <c r="AB7" i="119"/>
  <c r="AC7" i="119"/>
  <c r="AC46" i="119" s="1"/>
  <c r="T8" i="119"/>
  <c r="U8" i="119"/>
  <c r="V8" i="119"/>
  <c r="W8" i="119"/>
  <c r="Q8" i="119" s="1"/>
  <c r="X8" i="119"/>
  <c r="X47" i="119" s="1"/>
  <c r="Y8" i="119"/>
  <c r="R8" i="119" s="1"/>
  <c r="Z8" i="119"/>
  <c r="AA8" i="119"/>
  <c r="AB8" i="119"/>
  <c r="AC8" i="119"/>
  <c r="Q9" i="119"/>
  <c r="S9" i="119" s="1"/>
  <c r="R9" i="119"/>
  <c r="D21" i="119" s="1"/>
  <c r="D29" i="119" s="1"/>
  <c r="T9" i="119"/>
  <c r="U9" i="119"/>
  <c r="V9" i="119"/>
  <c r="W9" i="119"/>
  <c r="X9" i="119"/>
  <c r="X48" i="119" s="1"/>
  <c r="Y9" i="119"/>
  <c r="Y48" i="119" s="1"/>
  <c r="Z9" i="119"/>
  <c r="Z48" i="119" s="1"/>
  <c r="AA9" i="119"/>
  <c r="AB9" i="119"/>
  <c r="AC9" i="119"/>
  <c r="Q10" i="119"/>
  <c r="E3" i="119" s="1"/>
  <c r="S10" i="119"/>
  <c r="T10" i="119"/>
  <c r="U10" i="119"/>
  <c r="V10" i="119"/>
  <c r="W10" i="119"/>
  <c r="X10" i="119"/>
  <c r="X49" i="119" s="1"/>
  <c r="Y10" i="119"/>
  <c r="Y49" i="119" s="1"/>
  <c r="Z10" i="119"/>
  <c r="R10" i="119" s="1"/>
  <c r="E21" i="119" s="1"/>
  <c r="E29" i="119" s="1"/>
  <c r="AA10" i="119"/>
  <c r="AB10" i="119"/>
  <c r="AC10" i="119"/>
  <c r="T11" i="119"/>
  <c r="U11" i="119"/>
  <c r="U50" i="119" s="1"/>
  <c r="V11" i="119"/>
  <c r="V50" i="119" s="1"/>
  <c r="W11" i="119"/>
  <c r="X11" i="119"/>
  <c r="Y11" i="119"/>
  <c r="Z11" i="119"/>
  <c r="AA11" i="119"/>
  <c r="AB11" i="119"/>
  <c r="AB50" i="119" s="1"/>
  <c r="AC11" i="119"/>
  <c r="AC50" i="119" s="1"/>
  <c r="Q12" i="119"/>
  <c r="T12" i="119"/>
  <c r="U12" i="119"/>
  <c r="V12" i="119"/>
  <c r="W12" i="119"/>
  <c r="X12" i="119"/>
  <c r="Y12" i="119"/>
  <c r="R12" i="119" s="1"/>
  <c r="G21" i="119" s="1"/>
  <c r="G29" i="119" s="1"/>
  <c r="Z12" i="119"/>
  <c r="AA12" i="119"/>
  <c r="AB12" i="119"/>
  <c r="AC12" i="119"/>
  <c r="Q13" i="119"/>
  <c r="B3" i="119" s="1"/>
  <c r="B12" i="119" s="1"/>
  <c r="S13" i="119"/>
  <c r="T13" i="119"/>
  <c r="U13" i="119"/>
  <c r="V13" i="119"/>
  <c r="W13" i="119"/>
  <c r="X13" i="119"/>
  <c r="X52" i="119" s="1"/>
  <c r="Y13" i="119"/>
  <c r="Y52" i="119" s="1"/>
  <c r="Z13" i="119"/>
  <c r="Z52" i="119" s="1"/>
  <c r="AA13" i="119"/>
  <c r="AA52" i="119" s="1"/>
  <c r="AB13" i="119"/>
  <c r="AC13" i="119"/>
  <c r="T14" i="119"/>
  <c r="U14" i="119"/>
  <c r="U53" i="119" s="1"/>
  <c r="V14" i="119"/>
  <c r="V53" i="119" s="1"/>
  <c r="W14" i="119"/>
  <c r="X14" i="119"/>
  <c r="Y14" i="119"/>
  <c r="Z14" i="119"/>
  <c r="AA14" i="119"/>
  <c r="AB14" i="119"/>
  <c r="AC14" i="119"/>
  <c r="T15" i="119"/>
  <c r="U15" i="119"/>
  <c r="V15" i="119"/>
  <c r="V54" i="119" s="1"/>
  <c r="W15" i="119"/>
  <c r="W54" i="119" s="1"/>
  <c r="X15" i="119"/>
  <c r="Y15" i="119"/>
  <c r="R15" i="119" s="1"/>
  <c r="D22" i="119" s="1"/>
  <c r="D30" i="119" s="1"/>
  <c r="Z15" i="119"/>
  <c r="AA15" i="119"/>
  <c r="AB15" i="119"/>
  <c r="AC15" i="119"/>
  <c r="AE15" i="119"/>
  <c r="T16" i="119"/>
  <c r="U16" i="119"/>
  <c r="V16" i="119"/>
  <c r="W16" i="119"/>
  <c r="X16" i="119"/>
  <c r="Y16" i="119"/>
  <c r="Z16" i="119"/>
  <c r="Z55" i="119" s="1"/>
  <c r="AA16" i="119"/>
  <c r="AA55" i="119" s="1"/>
  <c r="AB16" i="119"/>
  <c r="AB55" i="119" s="1"/>
  <c r="AC16" i="119"/>
  <c r="T17" i="119"/>
  <c r="Q17" i="119" s="1"/>
  <c r="S17" i="119" s="1"/>
  <c r="U17" i="119"/>
  <c r="V17" i="119"/>
  <c r="W17" i="119"/>
  <c r="X17" i="119"/>
  <c r="Y17" i="119"/>
  <c r="R17" i="119" s="1"/>
  <c r="F22" i="119" s="1"/>
  <c r="F30" i="119" s="1"/>
  <c r="Z17" i="119"/>
  <c r="AA17" i="119"/>
  <c r="AB17" i="119"/>
  <c r="AC17" i="119"/>
  <c r="T18" i="119"/>
  <c r="U18" i="119"/>
  <c r="V18" i="119"/>
  <c r="V57" i="119" s="1"/>
  <c r="W18" i="119"/>
  <c r="W57" i="119" s="1"/>
  <c r="X18" i="119"/>
  <c r="X57" i="119" s="1"/>
  <c r="Y18" i="119"/>
  <c r="R18" i="119" s="1"/>
  <c r="Z18" i="119"/>
  <c r="AA18" i="119"/>
  <c r="AB18" i="119"/>
  <c r="AC18" i="119"/>
  <c r="T19" i="119"/>
  <c r="U19" i="119"/>
  <c r="U54" i="119" s="1"/>
  <c r="V19" i="119"/>
  <c r="V58" i="119" s="1"/>
  <c r="W19" i="119"/>
  <c r="X19" i="119"/>
  <c r="Y19" i="119"/>
  <c r="R19" i="119" s="1"/>
  <c r="B22" i="119" s="1"/>
  <c r="Z19" i="119"/>
  <c r="AA19" i="119"/>
  <c r="AB19" i="119"/>
  <c r="AC19" i="119"/>
  <c r="AC58" i="119" s="1"/>
  <c r="B20" i="119"/>
  <c r="B28" i="119" s="1"/>
  <c r="Q20" i="119"/>
  <c r="C5" i="119" s="1"/>
  <c r="C14" i="119" s="1"/>
  <c r="S20" i="119"/>
  <c r="T20" i="119"/>
  <c r="U20" i="119"/>
  <c r="V20" i="119"/>
  <c r="W20" i="119"/>
  <c r="X20" i="119"/>
  <c r="Y20" i="119"/>
  <c r="Z20" i="119"/>
  <c r="Z59" i="119" s="1"/>
  <c r="AA20" i="119"/>
  <c r="AA59" i="119" s="1"/>
  <c r="AB20" i="119"/>
  <c r="AC20" i="119"/>
  <c r="C21" i="119"/>
  <c r="C29" i="119" s="1"/>
  <c r="T21" i="119"/>
  <c r="U21" i="119"/>
  <c r="U60" i="119" s="1"/>
  <c r="V21" i="119"/>
  <c r="V60" i="119" s="1"/>
  <c r="W21" i="119"/>
  <c r="X21" i="119"/>
  <c r="Y21" i="119"/>
  <c r="Z21" i="119"/>
  <c r="AA21" i="119"/>
  <c r="AA60" i="119" s="1"/>
  <c r="AB21" i="119"/>
  <c r="AC21" i="119"/>
  <c r="G22" i="119"/>
  <c r="G30" i="119" s="1"/>
  <c r="T22" i="119"/>
  <c r="U22" i="119"/>
  <c r="V22" i="119"/>
  <c r="V61" i="119" s="1"/>
  <c r="W22" i="119"/>
  <c r="W61" i="119" s="1"/>
  <c r="X22" i="119"/>
  <c r="X61" i="119" s="1"/>
  <c r="Y22" i="119"/>
  <c r="Z22" i="119"/>
  <c r="AA22" i="119"/>
  <c r="AB22" i="119"/>
  <c r="AC22" i="119"/>
  <c r="T23" i="119"/>
  <c r="U23" i="119"/>
  <c r="V23" i="119"/>
  <c r="W23" i="119"/>
  <c r="X23" i="119"/>
  <c r="Y23" i="119"/>
  <c r="Z23" i="119"/>
  <c r="R23" i="119" s="1"/>
  <c r="F23" i="119" s="1"/>
  <c r="F31" i="119" s="1"/>
  <c r="AA23" i="119"/>
  <c r="AB23" i="119"/>
  <c r="AB62" i="119" s="1"/>
  <c r="AC23" i="119"/>
  <c r="T24" i="119"/>
  <c r="Q24" i="119" s="1"/>
  <c r="U24" i="119"/>
  <c r="U63" i="119" s="1"/>
  <c r="V24" i="119"/>
  <c r="W24" i="119"/>
  <c r="X24" i="119"/>
  <c r="Y24" i="119"/>
  <c r="R24" i="119" s="1"/>
  <c r="G23" i="119" s="1"/>
  <c r="G31" i="119" s="1"/>
  <c r="Z24" i="119"/>
  <c r="AA24" i="119"/>
  <c r="AB24" i="119"/>
  <c r="AB63" i="119" s="1"/>
  <c r="AC24" i="119"/>
  <c r="AC63" i="119" s="1"/>
  <c r="Q25" i="119"/>
  <c r="S25" i="119" s="1"/>
  <c r="T25" i="119"/>
  <c r="U25" i="119"/>
  <c r="V25" i="119"/>
  <c r="V62" i="119" s="1"/>
  <c r="W25" i="119"/>
  <c r="W62" i="119" s="1"/>
  <c r="X25" i="119"/>
  <c r="Y25" i="119"/>
  <c r="Z25" i="119"/>
  <c r="AA25" i="119"/>
  <c r="AB25" i="119"/>
  <c r="AC25" i="119"/>
  <c r="R26" i="119"/>
  <c r="C24" i="119" s="1"/>
  <c r="C32" i="119" s="1"/>
  <c r="T26" i="119"/>
  <c r="U26" i="119"/>
  <c r="V26" i="119"/>
  <c r="W26" i="119"/>
  <c r="W65" i="119" s="1"/>
  <c r="X26" i="119"/>
  <c r="X65" i="119" s="1"/>
  <c r="Y26" i="119"/>
  <c r="Y65" i="119" s="1"/>
  <c r="Z26" i="119"/>
  <c r="AA26" i="119"/>
  <c r="AB26" i="119"/>
  <c r="AC26" i="119"/>
  <c r="Q27" i="119"/>
  <c r="D6" i="119" s="1"/>
  <c r="S27" i="119"/>
  <c r="T27" i="119"/>
  <c r="U27" i="119"/>
  <c r="V27" i="119"/>
  <c r="W27" i="119"/>
  <c r="X27" i="119"/>
  <c r="Y27" i="119"/>
  <c r="Y66" i="119" s="1"/>
  <c r="Z27" i="119"/>
  <c r="Z66" i="119" s="1"/>
  <c r="AA27" i="119"/>
  <c r="AB27" i="119"/>
  <c r="AC27" i="119"/>
  <c r="E28" i="119"/>
  <c r="T28" i="119"/>
  <c r="U28" i="119"/>
  <c r="U67" i="119" s="1"/>
  <c r="V28" i="119"/>
  <c r="W28" i="119"/>
  <c r="X28" i="119"/>
  <c r="Y28" i="119"/>
  <c r="Z28" i="119"/>
  <c r="AA28" i="119"/>
  <c r="AA67" i="119" s="1"/>
  <c r="AB28" i="119"/>
  <c r="AB67" i="119" s="1"/>
  <c r="AC28" i="119"/>
  <c r="AC67" i="119" s="1"/>
  <c r="T29" i="119"/>
  <c r="U29" i="119"/>
  <c r="V29" i="119"/>
  <c r="W29" i="119"/>
  <c r="Q29" i="119" s="1"/>
  <c r="X29" i="119"/>
  <c r="X68" i="119" s="1"/>
  <c r="Y29" i="119"/>
  <c r="Z29" i="119"/>
  <c r="AA29" i="119"/>
  <c r="AB29" i="119"/>
  <c r="AC29" i="119"/>
  <c r="B30" i="119"/>
  <c r="T30" i="119"/>
  <c r="Q30" i="119" s="1"/>
  <c r="G6" i="119" s="1"/>
  <c r="U30" i="119"/>
  <c r="V30" i="119"/>
  <c r="W30" i="119"/>
  <c r="X30" i="119"/>
  <c r="Y30" i="119"/>
  <c r="Y69" i="119" s="1"/>
  <c r="AE30" i="119" s="1"/>
  <c r="Z30" i="119"/>
  <c r="R30" i="119" s="1"/>
  <c r="G24" i="119" s="1"/>
  <c r="G32" i="119" s="1"/>
  <c r="AA30" i="119"/>
  <c r="AB30" i="119"/>
  <c r="AC30" i="119"/>
  <c r="T31" i="119"/>
  <c r="U31" i="119"/>
  <c r="V31" i="119"/>
  <c r="W31" i="119"/>
  <c r="X31" i="119"/>
  <c r="Y31" i="119"/>
  <c r="Z31" i="119"/>
  <c r="AA31" i="119"/>
  <c r="AB31" i="119"/>
  <c r="AB70" i="119" s="1"/>
  <c r="AC31" i="119"/>
  <c r="AC70" i="119" s="1"/>
  <c r="Q32" i="119"/>
  <c r="T32" i="119"/>
  <c r="U32" i="119"/>
  <c r="V32" i="119"/>
  <c r="W32" i="119"/>
  <c r="X32" i="119"/>
  <c r="Y32" i="119"/>
  <c r="R32" i="119" s="1"/>
  <c r="C25" i="119" s="1"/>
  <c r="C33" i="119" s="1"/>
  <c r="Z32" i="119"/>
  <c r="AA32" i="119"/>
  <c r="AB32" i="119"/>
  <c r="AC32" i="119"/>
  <c r="T33" i="119"/>
  <c r="Q33" i="119" s="1"/>
  <c r="D7" i="119" s="1"/>
  <c r="U33" i="119"/>
  <c r="V33" i="119"/>
  <c r="W33" i="119"/>
  <c r="X33" i="119"/>
  <c r="Y33" i="119"/>
  <c r="Y72" i="119" s="1"/>
  <c r="Z33" i="119"/>
  <c r="Z72" i="119" s="1"/>
  <c r="AA33" i="119"/>
  <c r="AA72" i="119" s="1"/>
  <c r="AB33" i="119"/>
  <c r="AC33" i="119"/>
  <c r="T34" i="119"/>
  <c r="U34" i="119"/>
  <c r="V34" i="119"/>
  <c r="V73" i="119" s="1"/>
  <c r="W34" i="119"/>
  <c r="W73" i="119" s="1"/>
  <c r="X34" i="119"/>
  <c r="Y34" i="119"/>
  <c r="R34" i="119" s="1"/>
  <c r="E25" i="119" s="1"/>
  <c r="E33" i="119" s="1"/>
  <c r="Z34" i="119"/>
  <c r="AA34" i="119"/>
  <c r="AB34" i="119"/>
  <c r="AC34" i="119"/>
  <c r="T35" i="119"/>
  <c r="U35" i="119"/>
  <c r="U74" i="119" s="1"/>
  <c r="V35" i="119"/>
  <c r="V74" i="119" s="1"/>
  <c r="W35" i="119"/>
  <c r="X35" i="119"/>
  <c r="Y35" i="119"/>
  <c r="Z35" i="119"/>
  <c r="AA35" i="119"/>
  <c r="AB35" i="119"/>
  <c r="AC35" i="119"/>
  <c r="AC74" i="119" s="1"/>
  <c r="T36" i="119"/>
  <c r="U36" i="119"/>
  <c r="V36" i="119"/>
  <c r="V75" i="119" s="1"/>
  <c r="AD36" i="119" s="1"/>
  <c r="W36" i="119"/>
  <c r="W75" i="119" s="1"/>
  <c r="X36" i="119"/>
  <c r="X75" i="119" s="1"/>
  <c r="Y36" i="119"/>
  <c r="R36" i="119" s="1"/>
  <c r="G25" i="119" s="1"/>
  <c r="G33" i="119" s="1"/>
  <c r="Z36" i="119"/>
  <c r="AA36" i="119"/>
  <c r="AB36" i="119"/>
  <c r="AC36" i="119"/>
  <c r="Q37" i="119"/>
  <c r="T37" i="119"/>
  <c r="U37" i="119"/>
  <c r="V37" i="119"/>
  <c r="W37" i="119"/>
  <c r="X37" i="119"/>
  <c r="X71" i="119" s="1"/>
  <c r="Y37" i="119"/>
  <c r="Z37" i="119"/>
  <c r="AA37" i="119"/>
  <c r="AB37" i="119"/>
  <c r="AC37" i="119"/>
  <c r="T41" i="119"/>
  <c r="U41" i="119"/>
  <c r="Z41" i="119"/>
  <c r="AA41" i="119"/>
  <c r="AB41" i="119"/>
  <c r="AC41" i="119"/>
  <c r="X42" i="119"/>
  <c r="Y42" i="119"/>
  <c r="Z42" i="119"/>
  <c r="AA42" i="119"/>
  <c r="T43" i="119"/>
  <c r="V43" i="119"/>
  <c r="Y43" i="119"/>
  <c r="Z43" i="119"/>
  <c r="AA43" i="119"/>
  <c r="AB43" i="119"/>
  <c r="T44" i="119"/>
  <c r="U44" i="119"/>
  <c r="V44" i="119"/>
  <c r="W44" i="119"/>
  <c r="AB44" i="119"/>
  <c r="AC44" i="119"/>
  <c r="T45" i="119"/>
  <c r="U45" i="119"/>
  <c r="Y45" i="119"/>
  <c r="Z45" i="119"/>
  <c r="AA45" i="119"/>
  <c r="AB45" i="119"/>
  <c r="AC45" i="119"/>
  <c r="T46" i="119"/>
  <c r="X46" i="119"/>
  <c r="Y46" i="119"/>
  <c r="AE7" i="119" s="1"/>
  <c r="Z46" i="119"/>
  <c r="AA46" i="119"/>
  <c r="AB46" i="119"/>
  <c r="T47" i="119"/>
  <c r="U47" i="119"/>
  <c r="V47" i="119"/>
  <c r="W47" i="119"/>
  <c r="Y47" i="119"/>
  <c r="AE8" i="119" s="1"/>
  <c r="Z47" i="119"/>
  <c r="AA47" i="119"/>
  <c r="AB47" i="119"/>
  <c r="AC47" i="119"/>
  <c r="T48" i="119"/>
  <c r="U48" i="119"/>
  <c r="V48" i="119"/>
  <c r="W48" i="119"/>
  <c r="AA48" i="119"/>
  <c r="AB48" i="119"/>
  <c r="AC48" i="119"/>
  <c r="T49" i="119"/>
  <c r="U49" i="119"/>
  <c r="V49" i="119"/>
  <c r="W49" i="119"/>
  <c r="Z49" i="119"/>
  <c r="AA49" i="119"/>
  <c r="AB49" i="119"/>
  <c r="AC49" i="119"/>
  <c r="W50" i="119"/>
  <c r="X50" i="119"/>
  <c r="Y50" i="119"/>
  <c r="Z50" i="119"/>
  <c r="AA50" i="119"/>
  <c r="T51" i="119"/>
  <c r="U51" i="119"/>
  <c r="V51" i="119"/>
  <c r="W51" i="119"/>
  <c r="X51" i="119"/>
  <c r="Y51" i="119"/>
  <c r="AE12" i="119" s="1"/>
  <c r="Z51" i="119"/>
  <c r="AA51" i="119"/>
  <c r="AB51" i="119"/>
  <c r="AC51" i="119"/>
  <c r="T52" i="119"/>
  <c r="U52" i="119"/>
  <c r="V52" i="119"/>
  <c r="W52" i="119"/>
  <c r="AB52" i="119"/>
  <c r="AC52" i="119"/>
  <c r="T53" i="119"/>
  <c r="Y53" i="119"/>
  <c r="Z53" i="119"/>
  <c r="AA53" i="119"/>
  <c r="AB53" i="119"/>
  <c r="AC53" i="119"/>
  <c r="T54" i="119"/>
  <c r="X54" i="119"/>
  <c r="Y54" i="119"/>
  <c r="Z54" i="119"/>
  <c r="AA54" i="119"/>
  <c r="AB54" i="119"/>
  <c r="AC54" i="119"/>
  <c r="V55" i="119"/>
  <c r="W55" i="119"/>
  <c r="X55" i="119"/>
  <c r="Y55" i="119"/>
  <c r="AE16" i="119" s="1"/>
  <c r="AC55" i="119"/>
  <c r="T56" i="119"/>
  <c r="U56" i="119"/>
  <c r="V56" i="119"/>
  <c r="W56" i="119"/>
  <c r="Y56" i="119"/>
  <c r="Z56" i="119"/>
  <c r="AA56" i="119"/>
  <c r="AB56" i="119"/>
  <c r="AE17" i="119" s="1"/>
  <c r="AC56" i="119"/>
  <c r="T57" i="119"/>
  <c r="AD18" i="119" s="1"/>
  <c r="U57" i="119"/>
  <c r="Y57" i="119"/>
  <c r="Z57" i="119"/>
  <c r="AE18" i="119" s="1"/>
  <c r="AA57" i="119"/>
  <c r="AB57" i="119"/>
  <c r="AC57" i="119"/>
  <c r="T58" i="119"/>
  <c r="X58" i="119"/>
  <c r="Y58" i="119"/>
  <c r="AE19" i="119" s="1"/>
  <c r="Z58" i="119"/>
  <c r="AA58" i="119"/>
  <c r="AB58" i="119"/>
  <c r="T59" i="119"/>
  <c r="U59" i="119"/>
  <c r="V59" i="119"/>
  <c r="W59" i="119"/>
  <c r="X59" i="119"/>
  <c r="Y59" i="119"/>
  <c r="AB59" i="119"/>
  <c r="AC59" i="119"/>
  <c r="W60" i="119"/>
  <c r="Y60" i="119"/>
  <c r="Z60" i="119"/>
  <c r="AB60" i="119"/>
  <c r="AC60" i="119"/>
  <c r="T61" i="119"/>
  <c r="U61" i="119"/>
  <c r="Z61" i="119"/>
  <c r="AA61" i="119"/>
  <c r="AB61" i="119"/>
  <c r="AC61" i="119"/>
  <c r="U62" i="119"/>
  <c r="X62" i="119"/>
  <c r="Y62" i="119"/>
  <c r="Z62" i="119"/>
  <c r="AA62" i="119"/>
  <c r="AC62" i="119"/>
  <c r="V63" i="119"/>
  <c r="W63" i="119"/>
  <c r="X63" i="119"/>
  <c r="Y63" i="119"/>
  <c r="AE24" i="119" s="1"/>
  <c r="Z63" i="119"/>
  <c r="AA63" i="119"/>
  <c r="T64" i="119"/>
  <c r="U64" i="119"/>
  <c r="V64" i="119"/>
  <c r="W64" i="119"/>
  <c r="Z64" i="119"/>
  <c r="AA64" i="119"/>
  <c r="AB64" i="119"/>
  <c r="AC64" i="119"/>
  <c r="U65" i="119"/>
  <c r="Z65" i="119"/>
  <c r="AA65" i="119"/>
  <c r="AB65" i="119"/>
  <c r="AC65" i="119"/>
  <c r="W66" i="119"/>
  <c r="X66" i="119"/>
  <c r="AA66" i="119"/>
  <c r="AB66" i="119"/>
  <c r="AC66" i="119"/>
  <c r="V67" i="119"/>
  <c r="W67" i="119"/>
  <c r="X67" i="119"/>
  <c r="Y67" i="119"/>
  <c r="Z67" i="119"/>
  <c r="T68" i="119"/>
  <c r="U68" i="119"/>
  <c r="V68" i="119"/>
  <c r="W68" i="119"/>
  <c r="Z68" i="119"/>
  <c r="AA68" i="119"/>
  <c r="AB68" i="119"/>
  <c r="AC68" i="119"/>
  <c r="T69" i="119"/>
  <c r="U69" i="119"/>
  <c r="W69" i="119"/>
  <c r="X69" i="119"/>
  <c r="Z69" i="119"/>
  <c r="AA69" i="119"/>
  <c r="AB69" i="119"/>
  <c r="AC69" i="119"/>
  <c r="W70" i="119"/>
  <c r="X70" i="119"/>
  <c r="Y70" i="119"/>
  <c r="Z70" i="119"/>
  <c r="AA70" i="119"/>
  <c r="T71" i="119"/>
  <c r="U71" i="119"/>
  <c r="V71" i="119"/>
  <c r="W71" i="119"/>
  <c r="Y71" i="119"/>
  <c r="AE32" i="119" s="1"/>
  <c r="Z71" i="119"/>
  <c r="AA71" i="119"/>
  <c r="AB71" i="119"/>
  <c r="AC71" i="119"/>
  <c r="U72" i="119"/>
  <c r="V72" i="119"/>
  <c r="W72" i="119"/>
  <c r="AB72" i="119"/>
  <c r="AC72" i="119"/>
  <c r="T73" i="119"/>
  <c r="U73" i="119"/>
  <c r="Y73" i="119"/>
  <c r="Z73" i="119"/>
  <c r="AE34" i="119" s="1"/>
  <c r="AA73" i="119"/>
  <c r="AB73" i="119"/>
  <c r="AC73" i="119"/>
  <c r="T74" i="119"/>
  <c r="Y74" i="119"/>
  <c r="AE35" i="119" s="1"/>
  <c r="Z74" i="119"/>
  <c r="AA74" i="119"/>
  <c r="AB74" i="119"/>
  <c r="T75" i="119"/>
  <c r="U75" i="119"/>
  <c r="Z75" i="119"/>
  <c r="AA75" i="119"/>
  <c r="AB75" i="119"/>
  <c r="AC75" i="119"/>
  <c r="T76" i="119"/>
  <c r="U76" i="119"/>
  <c r="V76" i="119"/>
  <c r="W76" i="119"/>
  <c r="Z76" i="119"/>
  <c r="AA76" i="119"/>
  <c r="AB76" i="119"/>
  <c r="AC76" i="119"/>
  <c r="R2" i="118"/>
  <c r="C20" i="118" s="1"/>
  <c r="T2" i="118"/>
  <c r="U2" i="118"/>
  <c r="V2" i="118"/>
  <c r="W2" i="118"/>
  <c r="X2" i="118"/>
  <c r="Y2" i="118"/>
  <c r="Y41" i="118" s="1"/>
  <c r="Z2" i="118"/>
  <c r="AA2" i="118"/>
  <c r="AB2" i="118"/>
  <c r="AC2" i="118"/>
  <c r="T3" i="118"/>
  <c r="U3" i="118"/>
  <c r="U42" i="118" s="1"/>
  <c r="V3" i="118"/>
  <c r="W3" i="118"/>
  <c r="X3" i="118"/>
  <c r="Y3" i="118"/>
  <c r="Z3" i="118"/>
  <c r="R3" i="118" s="1"/>
  <c r="D20" i="118" s="1"/>
  <c r="D28" i="118" s="1"/>
  <c r="AA3" i="118"/>
  <c r="AA42" i="118" s="1"/>
  <c r="AB3" i="118"/>
  <c r="AB42" i="118" s="1"/>
  <c r="AC3" i="118"/>
  <c r="AC42" i="118" s="1"/>
  <c r="T4" i="118"/>
  <c r="U4" i="118"/>
  <c r="U43" i="118" s="1"/>
  <c r="V4" i="118"/>
  <c r="W4" i="118"/>
  <c r="X4" i="118"/>
  <c r="Y4" i="118"/>
  <c r="Z4" i="118"/>
  <c r="AA4" i="118"/>
  <c r="AB4" i="118"/>
  <c r="AB43" i="118" s="1"/>
  <c r="AC4" i="118"/>
  <c r="AC43" i="118" s="1"/>
  <c r="T5" i="118"/>
  <c r="U5" i="118"/>
  <c r="V5" i="118"/>
  <c r="W5" i="118"/>
  <c r="X5" i="118"/>
  <c r="Y5" i="118"/>
  <c r="Y44" i="118" s="1"/>
  <c r="Z5" i="118"/>
  <c r="Z44" i="118" s="1"/>
  <c r="AA5" i="118"/>
  <c r="AA44" i="118" s="1"/>
  <c r="AB5" i="118"/>
  <c r="AC5" i="118"/>
  <c r="T6" i="118"/>
  <c r="U6" i="118"/>
  <c r="U45" i="118" s="1"/>
  <c r="V6" i="118"/>
  <c r="V45" i="118" s="1"/>
  <c r="W6" i="118"/>
  <c r="X6" i="118"/>
  <c r="Y6" i="118"/>
  <c r="Z6" i="118"/>
  <c r="AA6" i="118"/>
  <c r="AB6" i="118"/>
  <c r="AC6" i="118"/>
  <c r="T7" i="118"/>
  <c r="U7" i="118"/>
  <c r="U46" i="118" s="1"/>
  <c r="V7" i="118"/>
  <c r="W7" i="118"/>
  <c r="X7" i="118"/>
  <c r="X45" i="118" s="1"/>
  <c r="Y7" i="118"/>
  <c r="R7" i="118" s="1"/>
  <c r="Z7" i="118"/>
  <c r="AA7" i="118"/>
  <c r="AB7" i="118"/>
  <c r="AB46" i="118" s="1"/>
  <c r="AC7" i="118"/>
  <c r="AC46" i="118" s="1"/>
  <c r="AE7" i="118"/>
  <c r="Q8" i="118"/>
  <c r="S8" i="118" s="1"/>
  <c r="T8" i="118"/>
  <c r="U8" i="118"/>
  <c r="V8" i="118"/>
  <c r="W8" i="118"/>
  <c r="X8" i="118"/>
  <c r="Y8" i="118"/>
  <c r="R8" i="118" s="1"/>
  <c r="Z8" i="118"/>
  <c r="AA8" i="118"/>
  <c r="AB8" i="118"/>
  <c r="AC8" i="118"/>
  <c r="R9" i="118"/>
  <c r="T9" i="118"/>
  <c r="U9" i="118"/>
  <c r="V9" i="118"/>
  <c r="W9" i="118"/>
  <c r="Q9" i="118" s="1"/>
  <c r="X9" i="118"/>
  <c r="Y9" i="118"/>
  <c r="Y48" i="118" s="1"/>
  <c r="Z9" i="118"/>
  <c r="Z48" i="118" s="1"/>
  <c r="AA9" i="118"/>
  <c r="AB9" i="118"/>
  <c r="AC9" i="118"/>
  <c r="AE9" i="118"/>
  <c r="T10" i="118"/>
  <c r="U10" i="118"/>
  <c r="V10" i="118"/>
  <c r="W10" i="118"/>
  <c r="W49" i="118" s="1"/>
  <c r="X10" i="118"/>
  <c r="Q10" i="118" s="1"/>
  <c r="Y10" i="118"/>
  <c r="Y49" i="118" s="1"/>
  <c r="Z10" i="118"/>
  <c r="AA10" i="118"/>
  <c r="AB10" i="118"/>
  <c r="AC10" i="118"/>
  <c r="T11" i="118"/>
  <c r="U11" i="118"/>
  <c r="U50" i="118" s="1"/>
  <c r="V11" i="118"/>
  <c r="V50" i="118" s="1"/>
  <c r="W11" i="118"/>
  <c r="X11" i="118"/>
  <c r="Y11" i="118"/>
  <c r="Z11" i="118"/>
  <c r="R11" i="118" s="1"/>
  <c r="F21" i="118" s="1"/>
  <c r="AA11" i="118"/>
  <c r="AB11" i="118"/>
  <c r="AB50" i="118" s="1"/>
  <c r="AC11" i="118"/>
  <c r="AC50" i="118" s="1"/>
  <c r="T12" i="118"/>
  <c r="U12" i="118"/>
  <c r="V12" i="118"/>
  <c r="W12" i="118"/>
  <c r="W51" i="118" s="1"/>
  <c r="X12" i="118"/>
  <c r="X51" i="118" s="1"/>
  <c r="Y12" i="118"/>
  <c r="R12" i="118" s="1"/>
  <c r="G21" i="118" s="1"/>
  <c r="Z12" i="118"/>
  <c r="AA12" i="118"/>
  <c r="AB12" i="118"/>
  <c r="AC12" i="118"/>
  <c r="T13" i="118"/>
  <c r="U13" i="118"/>
  <c r="V13" i="118"/>
  <c r="W13" i="118"/>
  <c r="X13" i="118"/>
  <c r="X52" i="118" s="1"/>
  <c r="Y13" i="118"/>
  <c r="Y52" i="118" s="1"/>
  <c r="Z13" i="118"/>
  <c r="Z52" i="118" s="1"/>
  <c r="AA13" i="118"/>
  <c r="AA52" i="118" s="1"/>
  <c r="AB13" i="118"/>
  <c r="AC13" i="118"/>
  <c r="T14" i="118"/>
  <c r="U14" i="118"/>
  <c r="V14" i="118"/>
  <c r="V53" i="118" s="1"/>
  <c r="W14" i="118"/>
  <c r="X14" i="118"/>
  <c r="Y14" i="118"/>
  <c r="Z14" i="118"/>
  <c r="R14" i="118" s="1"/>
  <c r="C22" i="118" s="1"/>
  <c r="AA14" i="118"/>
  <c r="AB14" i="118"/>
  <c r="AC14" i="118"/>
  <c r="T15" i="118"/>
  <c r="U15" i="118"/>
  <c r="V15" i="118"/>
  <c r="W15" i="118"/>
  <c r="Q15" i="118" s="1"/>
  <c r="X15" i="118"/>
  <c r="Y15" i="118"/>
  <c r="R15" i="118" s="1"/>
  <c r="D22" i="118" s="1"/>
  <c r="D30" i="118" s="1"/>
  <c r="Z15" i="118"/>
  <c r="AA15" i="118"/>
  <c r="AB15" i="118"/>
  <c r="AC15" i="118"/>
  <c r="AC54" i="118" s="1"/>
  <c r="Q16" i="118"/>
  <c r="S16" i="118" s="1"/>
  <c r="T16" i="118"/>
  <c r="T55" i="118" s="1"/>
  <c r="U16" i="118"/>
  <c r="V16" i="118"/>
  <c r="W16" i="118"/>
  <c r="X16" i="118"/>
  <c r="Y16" i="118"/>
  <c r="R16" i="118" s="1"/>
  <c r="E22" i="118" s="1"/>
  <c r="E30" i="118" s="1"/>
  <c r="Z16" i="118"/>
  <c r="Z55" i="118" s="1"/>
  <c r="AA16" i="118"/>
  <c r="AA55" i="118" s="1"/>
  <c r="AB16" i="118"/>
  <c r="AB55" i="118" s="1"/>
  <c r="AC16" i="118"/>
  <c r="T17" i="118"/>
  <c r="Q17" i="118" s="1"/>
  <c r="S17" i="118" s="1"/>
  <c r="U17" i="118"/>
  <c r="V17" i="118"/>
  <c r="W17" i="118"/>
  <c r="X17" i="118"/>
  <c r="Y17" i="118"/>
  <c r="R17" i="118" s="1"/>
  <c r="Z17" i="118"/>
  <c r="AA17" i="118"/>
  <c r="AB17" i="118"/>
  <c r="AC17" i="118"/>
  <c r="T18" i="118"/>
  <c r="U18" i="118"/>
  <c r="U57" i="118" s="1"/>
  <c r="V18" i="118"/>
  <c r="V57" i="118" s="1"/>
  <c r="W18" i="118"/>
  <c r="W57" i="118" s="1"/>
  <c r="X18" i="118"/>
  <c r="Y18" i="118"/>
  <c r="Z18" i="118"/>
  <c r="AA18" i="118"/>
  <c r="AB18" i="118"/>
  <c r="AC18" i="118"/>
  <c r="AC57" i="118" s="1"/>
  <c r="T19" i="118"/>
  <c r="U19" i="118"/>
  <c r="V19" i="118"/>
  <c r="V58" i="118" s="1"/>
  <c r="W19" i="118"/>
  <c r="W53" i="118" s="1"/>
  <c r="X19" i="118"/>
  <c r="Y19" i="118"/>
  <c r="R19" i="118" s="1"/>
  <c r="B22" i="118" s="1"/>
  <c r="Z19" i="118"/>
  <c r="AA19" i="118"/>
  <c r="AB19" i="118"/>
  <c r="AB58" i="118" s="1"/>
  <c r="AC19" i="118"/>
  <c r="AC58" i="118" s="1"/>
  <c r="B20" i="118"/>
  <c r="T20" i="118"/>
  <c r="U20" i="118"/>
  <c r="V20" i="118"/>
  <c r="W20" i="118"/>
  <c r="X20" i="118"/>
  <c r="X59" i="118" s="1"/>
  <c r="Y20" i="118"/>
  <c r="Y59" i="118" s="1"/>
  <c r="AE20" i="118" s="1"/>
  <c r="Z20" i="118"/>
  <c r="Z59" i="118" s="1"/>
  <c r="AA20" i="118"/>
  <c r="AA59" i="118" s="1"/>
  <c r="AB20" i="118"/>
  <c r="AC20" i="118"/>
  <c r="C21" i="118"/>
  <c r="C29" i="118" s="1"/>
  <c r="D21" i="118"/>
  <c r="D29" i="118" s="1"/>
  <c r="T21" i="118"/>
  <c r="U21" i="118"/>
  <c r="V21" i="118"/>
  <c r="W21" i="118"/>
  <c r="X21" i="118"/>
  <c r="Y21" i="118"/>
  <c r="Z21" i="118"/>
  <c r="Z60" i="118" s="1"/>
  <c r="AA21" i="118"/>
  <c r="AA60" i="118" s="1"/>
  <c r="AB21" i="118"/>
  <c r="AC21" i="118"/>
  <c r="F22" i="118"/>
  <c r="F30" i="118" s="1"/>
  <c r="Q22" i="118"/>
  <c r="T22" i="118"/>
  <c r="U22" i="118"/>
  <c r="V22" i="118"/>
  <c r="V61" i="118" s="1"/>
  <c r="W22" i="118"/>
  <c r="X22" i="118"/>
  <c r="X61" i="118" s="1"/>
  <c r="Y22" i="118"/>
  <c r="R22" i="118" s="1"/>
  <c r="E23" i="118" s="1"/>
  <c r="Z22" i="118"/>
  <c r="AA22" i="118"/>
  <c r="AB22" i="118"/>
  <c r="AC22" i="118"/>
  <c r="Q23" i="118"/>
  <c r="F5" i="118" s="1"/>
  <c r="T23" i="118"/>
  <c r="T62" i="118" s="1"/>
  <c r="U23" i="118"/>
  <c r="V23" i="118"/>
  <c r="W23" i="118"/>
  <c r="X23" i="118"/>
  <c r="Y23" i="118"/>
  <c r="R23" i="118" s="1"/>
  <c r="F23" i="118" s="1"/>
  <c r="F31" i="118" s="1"/>
  <c r="Z23" i="118"/>
  <c r="Z62" i="118" s="1"/>
  <c r="AA23" i="118"/>
  <c r="AA62" i="118" s="1"/>
  <c r="AB23" i="118"/>
  <c r="AB62" i="118" s="1"/>
  <c r="AC23" i="118"/>
  <c r="T24" i="118"/>
  <c r="U24" i="118"/>
  <c r="U63" i="118" s="1"/>
  <c r="V24" i="118"/>
  <c r="W24" i="118"/>
  <c r="X24" i="118"/>
  <c r="Y24" i="118"/>
  <c r="Z24" i="118"/>
  <c r="AA24" i="118"/>
  <c r="AA63" i="118" s="1"/>
  <c r="AB24" i="118"/>
  <c r="AB63" i="118" s="1"/>
  <c r="AC24" i="118"/>
  <c r="AC63" i="118" s="1"/>
  <c r="Q25" i="118"/>
  <c r="S25" i="118" s="1"/>
  <c r="T25" i="118"/>
  <c r="U25" i="118"/>
  <c r="U62" i="118" s="1"/>
  <c r="V25" i="118"/>
  <c r="V62" i="118" s="1"/>
  <c r="W25" i="118"/>
  <c r="X25" i="118"/>
  <c r="Y25" i="118"/>
  <c r="Z25" i="118"/>
  <c r="AA25" i="118"/>
  <c r="AB25" i="118"/>
  <c r="AC25" i="118"/>
  <c r="R26" i="118"/>
  <c r="C24" i="118" s="1"/>
  <c r="C32" i="118" s="1"/>
  <c r="T26" i="118"/>
  <c r="U26" i="118"/>
  <c r="V26" i="118"/>
  <c r="V65" i="118" s="1"/>
  <c r="W26" i="118"/>
  <c r="W65" i="118" s="1"/>
  <c r="X26" i="118"/>
  <c r="X65" i="118" s="1"/>
  <c r="Y26" i="118"/>
  <c r="Z26" i="118"/>
  <c r="AA26" i="118"/>
  <c r="AB26" i="118"/>
  <c r="AC26" i="118"/>
  <c r="T27" i="118"/>
  <c r="U27" i="118"/>
  <c r="V27" i="118"/>
  <c r="W27" i="118"/>
  <c r="X27" i="118"/>
  <c r="X66" i="118" s="1"/>
  <c r="Y27" i="118"/>
  <c r="R27" i="118" s="1"/>
  <c r="D24" i="118" s="1"/>
  <c r="D32" i="118" s="1"/>
  <c r="Z27" i="118"/>
  <c r="AA27" i="118"/>
  <c r="AB27" i="118"/>
  <c r="AC27" i="118"/>
  <c r="B28" i="118"/>
  <c r="C28" i="118"/>
  <c r="T28" i="118"/>
  <c r="U28" i="118"/>
  <c r="V28" i="118"/>
  <c r="V67" i="118" s="1"/>
  <c r="W28" i="118"/>
  <c r="X28" i="118"/>
  <c r="Y28" i="118"/>
  <c r="Z28" i="118"/>
  <c r="Z67" i="118" s="1"/>
  <c r="AA28" i="118"/>
  <c r="AA67" i="118" s="1"/>
  <c r="AB28" i="118"/>
  <c r="AB67" i="118" s="1"/>
  <c r="AC28" i="118"/>
  <c r="F29" i="118"/>
  <c r="G29" i="118"/>
  <c r="T29" i="118"/>
  <c r="U29" i="118"/>
  <c r="V29" i="118"/>
  <c r="W29" i="118"/>
  <c r="W68" i="118" s="1"/>
  <c r="X29" i="118"/>
  <c r="X68" i="118" s="1"/>
  <c r="Y29" i="118"/>
  <c r="Z29" i="118"/>
  <c r="AA29" i="118"/>
  <c r="AB29" i="118"/>
  <c r="AC29" i="118"/>
  <c r="B30" i="118"/>
  <c r="C30" i="118"/>
  <c r="Q30" i="118"/>
  <c r="G6" i="118" s="1"/>
  <c r="T30" i="118"/>
  <c r="U30" i="118"/>
  <c r="V30" i="118"/>
  <c r="W30" i="118"/>
  <c r="X30" i="118"/>
  <c r="X69" i="118" s="1"/>
  <c r="Y30" i="118"/>
  <c r="Y69" i="118" s="1"/>
  <c r="Z30" i="118"/>
  <c r="Z69" i="118" s="1"/>
  <c r="AA30" i="118"/>
  <c r="AB30" i="118"/>
  <c r="AC30" i="118"/>
  <c r="E31" i="118"/>
  <c r="T31" i="118"/>
  <c r="U31" i="118"/>
  <c r="V31" i="118"/>
  <c r="W31" i="118"/>
  <c r="X31" i="118"/>
  <c r="Y31" i="118"/>
  <c r="Z31" i="118"/>
  <c r="AA31" i="118"/>
  <c r="R31" i="118" s="1"/>
  <c r="B24" i="118" s="1"/>
  <c r="B32" i="118" s="1"/>
  <c r="AB31" i="118"/>
  <c r="AB70" i="118" s="1"/>
  <c r="AC31" i="118"/>
  <c r="AC70" i="118" s="1"/>
  <c r="Q32" i="118"/>
  <c r="T32" i="118"/>
  <c r="U32" i="118"/>
  <c r="V32" i="118"/>
  <c r="W32" i="118"/>
  <c r="X32" i="118"/>
  <c r="Y32" i="118"/>
  <c r="R32" i="118" s="1"/>
  <c r="C25" i="118" s="1"/>
  <c r="C33" i="118" s="1"/>
  <c r="Z32" i="118"/>
  <c r="AA32" i="118"/>
  <c r="AB32" i="118"/>
  <c r="AC32" i="118"/>
  <c r="Q33" i="118"/>
  <c r="D7" i="118" s="1"/>
  <c r="T33" i="118"/>
  <c r="U33" i="118"/>
  <c r="V33" i="118"/>
  <c r="W33" i="118"/>
  <c r="X33" i="118"/>
  <c r="X72" i="118" s="1"/>
  <c r="Y33" i="118"/>
  <c r="Y72" i="118" s="1"/>
  <c r="Z33" i="118"/>
  <c r="Z72" i="118" s="1"/>
  <c r="AA33" i="118"/>
  <c r="AA72" i="118" s="1"/>
  <c r="AB33" i="118"/>
  <c r="AC33" i="118"/>
  <c r="T34" i="118"/>
  <c r="Q34" i="118" s="1"/>
  <c r="S34" i="118" s="1"/>
  <c r="U34" i="118"/>
  <c r="V34" i="118"/>
  <c r="W34" i="118"/>
  <c r="W73" i="118" s="1"/>
  <c r="X34" i="118"/>
  <c r="Y34" i="118"/>
  <c r="Z34" i="118"/>
  <c r="AA34" i="118"/>
  <c r="AB34" i="118"/>
  <c r="AB73" i="118" s="1"/>
  <c r="AC34" i="118"/>
  <c r="AC73" i="118" s="1"/>
  <c r="T35" i="118"/>
  <c r="U35" i="118"/>
  <c r="U74" i="118" s="1"/>
  <c r="V35" i="118"/>
  <c r="V74" i="118" s="1"/>
  <c r="W35" i="118"/>
  <c r="W74" i="118" s="1"/>
  <c r="X35" i="118"/>
  <c r="X74" i="118" s="1"/>
  <c r="Y35" i="118"/>
  <c r="Z35" i="118"/>
  <c r="AA35" i="118"/>
  <c r="AB35" i="118"/>
  <c r="AB74" i="118" s="1"/>
  <c r="AC35" i="118"/>
  <c r="AC74" i="118" s="1"/>
  <c r="Q36" i="118"/>
  <c r="S36" i="118" s="1"/>
  <c r="T36" i="118"/>
  <c r="U36" i="118"/>
  <c r="V36" i="118"/>
  <c r="W36" i="118"/>
  <c r="X36" i="118"/>
  <c r="Y36" i="118"/>
  <c r="R36" i="118" s="1"/>
  <c r="G25" i="118" s="1"/>
  <c r="G33" i="118" s="1"/>
  <c r="Z36" i="118"/>
  <c r="AA36" i="118"/>
  <c r="AB36" i="118"/>
  <c r="AC36" i="118"/>
  <c r="Q37" i="118"/>
  <c r="T37" i="118"/>
  <c r="U37" i="118"/>
  <c r="V37" i="118"/>
  <c r="V75" i="118" s="1"/>
  <c r="W37" i="118"/>
  <c r="X37" i="118"/>
  <c r="Y37" i="118"/>
  <c r="Z37" i="118"/>
  <c r="AA37" i="118"/>
  <c r="AB37" i="118"/>
  <c r="AC37" i="118"/>
  <c r="T41" i="118"/>
  <c r="U41" i="118"/>
  <c r="Z41" i="118"/>
  <c r="AE2" i="118" s="1"/>
  <c r="AA41" i="118"/>
  <c r="AB41" i="118"/>
  <c r="AC41" i="118"/>
  <c r="Y42" i="118"/>
  <c r="Z42" i="118"/>
  <c r="V43" i="118"/>
  <c r="W43" i="118"/>
  <c r="X43" i="118"/>
  <c r="Y43" i="118"/>
  <c r="AE4" i="118" s="1"/>
  <c r="Z43" i="118"/>
  <c r="AA43" i="118"/>
  <c r="T44" i="118"/>
  <c r="U44" i="118"/>
  <c r="V44" i="118"/>
  <c r="W44" i="118"/>
  <c r="AB44" i="118"/>
  <c r="AC44" i="118"/>
  <c r="T45" i="118"/>
  <c r="Y45" i="118"/>
  <c r="Z45" i="118"/>
  <c r="AA45" i="118"/>
  <c r="AB45" i="118"/>
  <c r="AC45" i="118"/>
  <c r="X46" i="118"/>
  <c r="Y46" i="118"/>
  <c r="Z46" i="118"/>
  <c r="AA46" i="118"/>
  <c r="T47" i="118"/>
  <c r="U47" i="118"/>
  <c r="V47" i="118"/>
  <c r="AD8" i="118" s="1"/>
  <c r="W47" i="118"/>
  <c r="X47" i="118"/>
  <c r="Z47" i="118"/>
  <c r="AA47" i="118"/>
  <c r="AB47" i="118"/>
  <c r="AC47" i="118"/>
  <c r="T48" i="118"/>
  <c r="U48" i="118"/>
  <c r="V48" i="118"/>
  <c r="W48" i="118"/>
  <c r="AA48" i="118"/>
  <c r="AB48" i="118"/>
  <c r="AC48" i="118"/>
  <c r="T49" i="118"/>
  <c r="U49" i="118"/>
  <c r="V49" i="118"/>
  <c r="Z49" i="118"/>
  <c r="AA49" i="118"/>
  <c r="AB49" i="118"/>
  <c r="AC49" i="118"/>
  <c r="W50" i="118"/>
  <c r="Y50" i="118"/>
  <c r="Z50" i="118"/>
  <c r="AA50" i="118"/>
  <c r="T51" i="118"/>
  <c r="U51" i="118"/>
  <c r="V51" i="118"/>
  <c r="AD12" i="118" s="1"/>
  <c r="Y51" i="118"/>
  <c r="AE12" i="118" s="1"/>
  <c r="Z51" i="118"/>
  <c r="AA51" i="118"/>
  <c r="AB51" i="118"/>
  <c r="AC51" i="118"/>
  <c r="T52" i="118"/>
  <c r="U52" i="118"/>
  <c r="V52" i="118"/>
  <c r="W52" i="118"/>
  <c r="AB52" i="118"/>
  <c r="AC52" i="118"/>
  <c r="T53" i="118"/>
  <c r="U53" i="118"/>
  <c r="Y53" i="118"/>
  <c r="Z53" i="118"/>
  <c r="AA53" i="118"/>
  <c r="AB53" i="118"/>
  <c r="AC53" i="118"/>
  <c r="X54" i="118"/>
  <c r="Z54" i="118"/>
  <c r="AA54" i="118"/>
  <c r="AB54" i="118"/>
  <c r="V55" i="118"/>
  <c r="W55" i="118"/>
  <c r="X55" i="118"/>
  <c r="Y55" i="118"/>
  <c r="AE16" i="118" s="1"/>
  <c r="AC55" i="118"/>
  <c r="U56" i="118"/>
  <c r="V56" i="118"/>
  <c r="W56" i="118"/>
  <c r="Y56" i="118"/>
  <c r="Z56" i="118"/>
  <c r="AA56" i="118"/>
  <c r="AE17" i="118" s="1"/>
  <c r="AB56" i="118"/>
  <c r="AC56" i="118"/>
  <c r="T57" i="118"/>
  <c r="Y57" i="118"/>
  <c r="Z57" i="118"/>
  <c r="AA57" i="118"/>
  <c r="AB57" i="118"/>
  <c r="Y58" i="118"/>
  <c r="Z58" i="118"/>
  <c r="AE19" i="118" s="1"/>
  <c r="AA58" i="118"/>
  <c r="T59" i="118"/>
  <c r="U59" i="118"/>
  <c r="V59" i="118"/>
  <c r="W59" i="118"/>
  <c r="AB59" i="118"/>
  <c r="AC59" i="118"/>
  <c r="T60" i="118"/>
  <c r="U60" i="118"/>
  <c r="V60" i="118"/>
  <c r="W60" i="118"/>
  <c r="Y60" i="118"/>
  <c r="AB60" i="118"/>
  <c r="AC60" i="118"/>
  <c r="T61" i="118"/>
  <c r="U61" i="118"/>
  <c r="Z61" i="118"/>
  <c r="AA61" i="118"/>
  <c r="AB61" i="118"/>
  <c r="AC61" i="118"/>
  <c r="W62" i="118"/>
  <c r="X62" i="118"/>
  <c r="Y62" i="118"/>
  <c r="AC62" i="118"/>
  <c r="V63" i="118"/>
  <c r="W63" i="118"/>
  <c r="X63" i="118"/>
  <c r="Y63" i="118"/>
  <c r="AE24" i="118" s="1"/>
  <c r="Z63" i="118"/>
  <c r="T64" i="118"/>
  <c r="U64" i="118"/>
  <c r="V64" i="118"/>
  <c r="W64" i="118"/>
  <c r="Z64" i="118"/>
  <c r="AA64" i="118"/>
  <c r="AB64" i="118"/>
  <c r="AC64" i="118"/>
  <c r="T65" i="118"/>
  <c r="U65" i="118"/>
  <c r="Y65" i="118"/>
  <c r="Z65" i="118"/>
  <c r="AE26" i="118" s="1"/>
  <c r="AA65" i="118"/>
  <c r="AB65" i="118"/>
  <c r="AC65" i="118"/>
  <c r="W66" i="118"/>
  <c r="Z66" i="118"/>
  <c r="AA66" i="118"/>
  <c r="AB66" i="118"/>
  <c r="AC66" i="118"/>
  <c r="U67" i="118"/>
  <c r="W67" i="118"/>
  <c r="X67" i="118"/>
  <c r="Y67" i="118"/>
  <c r="AC67" i="118"/>
  <c r="T68" i="118"/>
  <c r="AD29" i="118" s="1"/>
  <c r="U68" i="118"/>
  <c r="V68" i="118"/>
  <c r="Z68" i="118"/>
  <c r="AA68" i="118"/>
  <c r="AB68" i="118"/>
  <c r="AC68" i="118"/>
  <c r="T69" i="118"/>
  <c r="U69" i="118"/>
  <c r="W69" i="118"/>
  <c r="AA69" i="118"/>
  <c r="AB69" i="118"/>
  <c r="AC69" i="118"/>
  <c r="W70" i="118"/>
  <c r="X70" i="118"/>
  <c r="Y70" i="118"/>
  <c r="Z70" i="118"/>
  <c r="T71" i="118"/>
  <c r="U71" i="118"/>
  <c r="AD32" i="118" s="1"/>
  <c r="V71" i="118"/>
  <c r="W71" i="118"/>
  <c r="X71" i="118"/>
  <c r="Z71" i="118"/>
  <c r="AA71" i="118"/>
  <c r="AB71" i="118"/>
  <c r="AC71" i="118"/>
  <c r="T72" i="118"/>
  <c r="U72" i="118"/>
  <c r="V72" i="118"/>
  <c r="W72" i="118"/>
  <c r="AB72" i="118"/>
  <c r="AC72" i="118"/>
  <c r="U73" i="118"/>
  <c r="Y73" i="118"/>
  <c r="AE34" i="118" s="1"/>
  <c r="Z73" i="118"/>
  <c r="AA73" i="118"/>
  <c r="Y74" i="118"/>
  <c r="Z74" i="118"/>
  <c r="AE35" i="118" s="1"/>
  <c r="AA74" i="118"/>
  <c r="T75" i="118"/>
  <c r="U75" i="118"/>
  <c r="AD36" i="118" s="1"/>
  <c r="W75" i="118"/>
  <c r="X75" i="118"/>
  <c r="Y75" i="118"/>
  <c r="AE36" i="118" s="1"/>
  <c r="Z75" i="118"/>
  <c r="AA75" i="118"/>
  <c r="AB75" i="118"/>
  <c r="AC75" i="118"/>
  <c r="T76" i="118"/>
  <c r="U76" i="118"/>
  <c r="V76" i="118"/>
  <c r="W76" i="118"/>
  <c r="Z76" i="118"/>
  <c r="AA76" i="118"/>
  <c r="AB76" i="118"/>
  <c r="AC76" i="118"/>
  <c r="C20" i="117"/>
  <c r="C28" i="117" s="1"/>
  <c r="T2" i="117"/>
  <c r="U2" i="117"/>
  <c r="V2" i="117"/>
  <c r="W2" i="117"/>
  <c r="X2" i="117"/>
  <c r="Y2" i="117"/>
  <c r="Y41" i="117" s="1"/>
  <c r="Z2" i="117"/>
  <c r="AA2" i="117"/>
  <c r="AB2" i="117"/>
  <c r="AC2" i="117"/>
  <c r="T3" i="117"/>
  <c r="U3" i="117"/>
  <c r="V3" i="117"/>
  <c r="W3" i="117"/>
  <c r="X3" i="117"/>
  <c r="Y3" i="117"/>
  <c r="Z3" i="117"/>
  <c r="AA3" i="117"/>
  <c r="AB3" i="117"/>
  <c r="AB42" i="117" s="1"/>
  <c r="AC3" i="117"/>
  <c r="AC42" i="117" s="1"/>
  <c r="T4" i="117"/>
  <c r="U4" i="117"/>
  <c r="V4" i="117"/>
  <c r="W4" i="117"/>
  <c r="X4" i="117"/>
  <c r="Y4" i="117"/>
  <c r="Z4" i="117"/>
  <c r="E20" i="117" s="1"/>
  <c r="E28" i="117" s="1"/>
  <c r="AA4" i="117"/>
  <c r="AB4" i="117"/>
  <c r="AC4" i="117"/>
  <c r="AC43" i="117" s="1"/>
  <c r="T5" i="117"/>
  <c r="U5" i="117"/>
  <c r="V5" i="117"/>
  <c r="W5" i="117"/>
  <c r="X5" i="117"/>
  <c r="Y5" i="117"/>
  <c r="Y44" i="117" s="1"/>
  <c r="Z5" i="117"/>
  <c r="Z44" i="117" s="1"/>
  <c r="AA5" i="117"/>
  <c r="AA44" i="117" s="1"/>
  <c r="AB5" i="117"/>
  <c r="AC5" i="117"/>
  <c r="T6" i="117"/>
  <c r="T45" i="117" s="1"/>
  <c r="U6" i="117"/>
  <c r="U45" i="117" s="1"/>
  <c r="V6" i="117"/>
  <c r="V45" i="117" s="1"/>
  <c r="W6" i="117"/>
  <c r="X6" i="117"/>
  <c r="Y6" i="117"/>
  <c r="Z6" i="117"/>
  <c r="AA6" i="117"/>
  <c r="AB6" i="117"/>
  <c r="AB45" i="117" s="1"/>
  <c r="AC6" i="117"/>
  <c r="AC45" i="117" s="1"/>
  <c r="T7" i="117"/>
  <c r="U7" i="117"/>
  <c r="U46" i="117" s="1"/>
  <c r="V7" i="117"/>
  <c r="V44" i="117" s="1"/>
  <c r="W7" i="117"/>
  <c r="W43" i="117" s="1"/>
  <c r="X7" i="117"/>
  <c r="X45" i="117" s="1"/>
  <c r="Y7" i="117"/>
  <c r="Z7" i="117"/>
  <c r="AA7" i="117"/>
  <c r="AB7" i="117"/>
  <c r="AC7" i="117"/>
  <c r="AC46" i="117" s="1"/>
  <c r="T8" i="117"/>
  <c r="U8" i="117"/>
  <c r="V8" i="117"/>
  <c r="W8" i="117"/>
  <c r="X8" i="117"/>
  <c r="Y8" i="117"/>
  <c r="Z8" i="117"/>
  <c r="AA8" i="117"/>
  <c r="AB8" i="117"/>
  <c r="AC8" i="117"/>
  <c r="D21" i="117"/>
  <c r="D29" i="117" s="1"/>
  <c r="T9" i="117"/>
  <c r="U9" i="117"/>
  <c r="V9" i="117"/>
  <c r="W9" i="117"/>
  <c r="X9" i="117"/>
  <c r="X48" i="117" s="1"/>
  <c r="Y9" i="117"/>
  <c r="Z9" i="117"/>
  <c r="Z48" i="117" s="1"/>
  <c r="AA9" i="117"/>
  <c r="AB9" i="117"/>
  <c r="AC9" i="117"/>
  <c r="E3" i="117"/>
  <c r="T10" i="117"/>
  <c r="U10" i="117"/>
  <c r="V10" i="117"/>
  <c r="W10" i="117"/>
  <c r="X10" i="117"/>
  <c r="Y10" i="117"/>
  <c r="Y49" i="117" s="1"/>
  <c r="Z10" i="117"/>
  <c r="E21" i="117" s="1"/>
  <c r="E29" i="117" s="1"/>
  <c r="AA10" i="117"/>
  <c r="AA49" i="117" s="1"/>
  <c r="AB10" i="117"/>
  <c r="AC10" i="117"/>
  <c r="T11" i="117"/>
  <c r="U11" i="117"/>
  <c r="U50" i="117" s="1"/>
  <c r="V11" i="117"/>
  <c r="V50" i="117" s="1"/>
  <c r="W11" i="117"/>
  <c r="X11" i="117"/>
  <c r="Y11" i="117"/>
  <c r="Z11" i="117"/>
  <c r="AA11" i="117"/>
  <c r="AB11" i="117"/>
  <c r="AB50" i="117" s="1"/>
  <c r="AC11" i="117"/>
  <c r="AC50" i="117" s="1"/>
  <c r="T12" i="117"/>
  <c r="U12" i="117"/>
  <c r="V12" i="117"/>
  <c r="W12" i="117"/>
  <c r="X12" i="117"/>
  <c r="Y12" i="117"/>
  <c r="G21" i="117" s="1"/>
  <c r="G29" i="117" s="1"/>
  <c r="Z12" i="117"/>
  <c r="AA12" i="117"/>
  <c r="AB12" i="117"/>
  <c r="AC12" i="117"/>
  <c r="AE12" i="117"/>
  <c r="T13" i="117"/>
  <c r="U13" i="117"/>
  <c r="V13" i="117"/>
  <c r="W13" i="117"/>
  <c r="X13" i="117"/>
  <c r="X52" i="117" s="1"/>
  <c r="Y13" i="117"/>
  <c r="Z13" i="117"/>
  <c r="Z52" i="117" s="1"/>
  <c r="AA13" i="117"/>
  <c r="AA52" i="117" s="1"/>
  <c r="AB13" i="117"/>
  <c r="AC13" i="117"/>
  <c r="T14" i="117"/>
  <c r="U14" i="117"/>
  <c r="V14" i="117"/>
  <c r="V53" i="117" s="1"/>
  <c r="W14" i="117"/>
  <c r="X14" i="117"/>
  <c r="Y14" i="117"/>
  <c r="Z14" i="117"/>
  <c r="AA14" i="117"/>
  <c r="AB14" i="117"/>
  <c r="AB53" i="117" s="1"/>
  <c r="AC14" i="117"/>
  <c r="AC53" i="117" s="1"/>
  <c r="T15" i="117"/>
  <c r="U15" i="117"/>
  <c r="V15" i="117"/>
  <c r="W15" i="117"/>
  <c r="X15" i="117"/>
  <c r="X54" i="117" s="1"/>
  <c r="Y15" i="117"/>
  <c r="Z15" i="117"/>
  <c r="AA15" i="117"/>
  <c r="AB15" i="117"/>
  <c r="AC15" i="117"/>
  <c r="T16" i="117"/>
  <c r="T55" i="117" s="1"/>
  <c r="U16" i="117"/>
  <c r="V16" i="117"/>
  <c r="W16" i="117"/>
  <c r="X16" i="117"/>
  <c r="Y16" i="117"/>
  <c r="Z16" i="117"/>
  <c r="Z55" i="117" s="1"/>
  <c r="AA16" i="117"/>
  <c r="AB16" i="117"/>
  <c r="AB55" i="117" s="1"/>
  <c r="AC16" i="117"/>
  <c r="T17" i="117"/>
  <c r="U17" i="117"/>
  <c r="V17" i="117"/>
  <c r="W17" i="117"/>
  <c r="X17" i="117"/>
  <c r="Y17" i="117"/>
  <c r="Z17" i="117"/>
  <c r="AA17" i="117"/>
  <c r="AB17" i="117"/>
  <c r="AC17" i="117"/>
  <c r="T18" i="117"/>
  <c r="U18" i="117"/>
  <c r="U57" i="117" s="1"/>
  <c r="V18" i="117"/>
  <c r="W18" i="117"/>
  <c r="X18" i="117"/>
  <c r="Y18" i="117"/>
  <c r="Z18" i="117"/>
  <c r="AA18" i="117"/>
  <c r="AB18" i="117"/>
  <c r="AC18" i="117"/>
  <c r="AC57" i="117" s="1"/>
  <c r="T19" i="117"/>
  <c r="U19" i="117"/>
  <c r="V19" i="117"/>
  <c r="V58" i="117" s="1"/>
  <c r="W19" i="117"/>
  <c r="W58" i="117" s="1"/>
  <c r="X19" i="117"/>
  <c r="Y19" i="117"/>
  <c r="Z19" i="117"/>
  <c r="AA19" i="117"/>
  <c r="AB19" i="117"/>
  <c r="AC19" i="117"/>
  <c r="AC58" i="117" s="1"/>
  <c r="T20" i="117"/>
  <c r="U20" i="117"/>
  <c r="V20" i="117"/>
  <c r="W20" i="117"/>
  <c r="X20" i="117"/>
  <c r="Y20" i="117"/>
  <c r="Z20" i="117"/>
  <c r="Z59" i="117" s="1"/>
  <c r="AA20" i="117"/>
  <c r="AB20" i="117"/>
  <c r="AC20" i="117"/>
  <c r="C21" i="117"/>
  <c r="C29" i="117" s="1"/>
  <c r="T21" i="117"/>
  <c r="U21" i="117"/>
  <c r="V21" i="117"/>
  <c r="W21" i="117"/>
  <c r="X21" i="117"/>
  <c r="Y21" i="117"/>
  <c r="Z21" i="117"/>
  <c r="AA21" i="117"/>
  <c r="AA60" i="117" s="1"/>
  <c r="AB21" i="117"/>
  <c r="AC21" i="117"/>
  <c r="AC60" i="117" s="1"/>
  <c r="T22" i="117"/>
  <c r="U22" i="117"/>
  <c r="V22" i="117"/>
  <c r="V61" i="117" s="1"/>
  <c r="W22" i="117"/>
  <c r="X22" i="117"/>
  <c r="X61" i="117" s="1"/>
  <c r="Y22" i="117"/>
  <c r="Z22" i="117"/>
  <c r="AA22" i="117"/>
  <c r="AB22" i="117"/>
  <c r="AC22" i="117"/>
  <c r="T23" i="117"/>
  <c r="T62" i="117" s="1"/>
  <c r="U23" i="117"/>
  <c r="V23" i="117"/>
  <c r="W23" i="117"/>
  <c r="X23" i="117"/>
  <c r="Y23" i="117"/>
  <c r="F23" i="117" s="1"/>
  <c r="F31" i="117" s="1"/>
  <c r="Z23" i="117"/>
  <c r="AA23" i="117"/>
  <c r="AB23" i="117"/>
  <c r="AB62" i="117" s="1"/>
  <c r="AC23" i="117"/>
  <c r="T24" i="117"/>
  <c r="U24" i="117"/>
  <c r="U63" i="117" s="1"/>
  <c r="V24" i="117"/>
  <c r="W24" i="117"/>
  <c r="W63" i="117" s="1"/>
  <c r="X24" i="117"/>
  <c r="Y24" i="117"/>
  <c r="G23" i="117" s="1"/>
  <c r="G31" i="117" s="1"/>
  <c r="Z24" i="117"/>
  <c r="AA24" i="117"/>
  <c r="AB24" i="117"/>
  <c r="AB63" i="117" s="1"/>
  <c r="AC24" i="117"/>
  <c r="AC63" i="117" s="1"/>
  <c r="T25" i="117"/>
  <c r="U25" i="117"/>
  <c r="V25" i="117"/>
  <c r="V62" i="117" s="1"/>
  <c r="W25" i="117"/>
  <c r="W62" i="117" s="1"/>
  <c r="X25" i="117"/>
  <c r="Y25" i="117"/>
  <c r="B23" i="117" s="1"/>
  <c r="B31" i="117" s="1"/>
  <c r="Z25" i="117"/>
  <c r="AA25" i="117"/>
  <c r="AB25" i="117"/>
  <c r="AC25" i="117"/>
  <c r="C24" i="117"/>
  <c r="C32" i="117" s="1"/>
  <c r="T26" i="117"/>
  <c r="U26" i="117"/>
  <c r="V26" i="117"/>
  <c r="W26" i="117"/>
  <c r="X26" i="117"/>
  <c r="X65" i="117" s="1"/>
  <c r="Y26" i="117"/>
  <c r="Y65" i="117" s="1"/>
  <c r="AE26" i="117" s="1"/>
  <c r="Z26" i="117"/>
  <c r="Z65" i="117" s="1"/>
  <c r="AA26" i="117"/>
  <c r="AB26" i="117"/>
  <c r="AC26" i="117"/>
  <c r="T27" i="117"/>
  <c r="U27" i="117"/>
  <c r="V27" i="117"/>
  <c r="W27" i="117"/>
  <c r="X27" i="117"/>
  <c r="Y27" i="117"/>
  <c r="Z27" i="117"/>
  <c r="D24" i="117" s="1"/>
  <c r="D32" i="117" s="1"/>
  <c r="AA27" i="117"/>
  <c r="AB27" i="117"/>
  <c r="AC27" i="117"/>
  <c r="T28" i="117"/>
  <c r="U28" i="117"/>
  <c r="U67" i="117" s="1"/>
  <c r="V28" i="117"/>
  <c r="W28" i="117"/>
  <c r="X28" i="117"/>
  <c r="Y28" i="117"/>
  <c r="Z28" i="117"/>
  <c r="AA28" i="117"/>
  <c r="AB28" i="117"/>
  <c r="AB67" i="117" s="1"/>
  <c r="AC28" i="117"/>
  <c r="AC67" i="117" s="1"/>
  <c r="T29" i="117"/>
  <c r="U29" i="117"/>
  <c r="V29" i="117"/>
  <c r="W29" i="117"/>
  <c r="W68" i="117" s="1"/>
  <c r="X29" i="117"/>
  <c r="X68" i="117" s="1"/>
  <c r="Y29" i="117"/>
  <c r="Z29" i="117"/>
  <c r="AA29" i="117"/>
  <c r="AB29" i="117"/>
  <c r="AC29" i="117"/>
  <c r="T30" i="117"/>
  <c r="U30" i="117"/>
  <c r="V30" i="117"/>
  <c r="W30" i="117"/>
  <c r="X30" i="117"/>
  <c r="Y30" i="117"/>
  <c r="Y69" i="117" s="1"/>
  <c r="Z30" i="117"/>
  <c r="AA30" i="117"/>
  <c r="AB30" i="117"/>
  <c r="AB69" i="117" s="1"/>
  <c r="AC30" i="117"/>
  <c r="T31" i="117"/>
  <c r="U31" i="117"/>
  <c r="U65" i="117" s="1"/>
  <c r="V31" i="117"/>
  <c r="W31" i="117"/>
  <c r="X31" i="117"/>
  <c r="X69" i="117" s="1"/>
  <c r="Y31" i="117"/>
  <c r="Z31" i="117"/>
  <c r="AA31" i="117"/>
  <c r="AB31" i="117"/>
  <c r="AB70" i="117" s="1"/>
  <c r="AC31" i="117"/>
  <c r="AC70" i="117" s="1"/>
  <c r="T32" i="117"/>
  <c r="U32" i="117"/>
  <c r="V32" i="117"/>
  <c r="W32" i="117"/>
  <c r="X32" i="117"/>
  <c r="X71" i="117" s="1"/>
  <c r="Y32" i="117"/>
  <c r="C25" i="117" s="1"/>
  <c r="C33" i="117" s="1"/>
  <c r="Z32" i="117"/>
  <c r="AA32" i="117"/>
  <c r="AB32" i="117"/>
  <c r="AC32" i="117"/>
  <c r="T33" i="117"/>
  <c r="U33" i="117"/>
  <c r="V33" i="117"/>
  <c r="W33" i="117"/>
  <c r="X33" i="117"/>
  <c r="Y33" i="117"/>
  <c r="Z33" i="117"/>
  <c r="Z72" i="117" s="1"/>
  <c r="AA33" i="117"/>
  <c r="AA72" i="117" s="1"/>
  <c r="AB33" i="117"/>
  <c r="AC33" i="117"/>
  <c r="T34" i="117"/>
  <c r="U34" i="117"/>
  <c r="V34" i="117"/>
  <c r="V73" i="117" s="1"/>
  <c r="W34" i="117"/>
  <c r="X34" i="117"/>
  <c r="Y34" i="117"/>
  <c r="E25" i="117" s="1"/>
  <c r="E33" i="117" s="1"/>
  <c r="Z34" i="117"/>
  <c r="AA34" i="117"/>
  <c r="AB34" i="117"/>
  <c r="AC34" i="117"/>
  <c r="T35" i="117"/>
  <c r="U35" i="117"/>
  <c r="V35" i="117"/>
  <c r="V74" i="117" s="1"/>
  <c r="W35" i="117"/>
  <c r="W74" i="117" s="1"/>
  <c r="X35" i="117"/>
  <c r="Y35" i="117"/>
  <c r="Z35" i="117"/>
  <c r="AA35" i="117"/>
  <c r="AB35" i="117"/>
  <c r="AC35" i="117"/>
  <c r="AC74" i="117" s="1"/>
  <c r="T36" i="117"/>
  <c r="U36" i="117"/>
  <c r="V36" i="117"/>
  <c r="W36" i="117"/>
  <c r="X36" i="117"/>
  <c r="X75" i="117" s="1"/>
  <c r="Y36" i="117"/>
  <c r="G25" i="117" s="1"/>
  <c r="G33" i="117" s="1"/>
  <c r="Z36" i="117"/>
  <c r="AA36" i="117"/>
  <c r="AB36" i="117"/>
  <c r="AC36" i="117"/>
  <c r="T37" i="117"/>
  <c r="U37" i="117"/>
  <c r="V37" i="117"/>
  <c r="W37" i="117"/>
  <c r="X37" i="117"/>
  <c r="Y37" i="117"/>
  <c r="B25" i="117" s="1"/>
  <c r="B33" i="117" s="1"/>
  <c r="Z37" i="117"/>
  <c r="AA37" i="117"/>
  <c r="AA76" i="117" s="1"/>
  <c r="AB37" i="117"/>
  <c r="AC37" i="117"/>
  <c r="T41" i="117"/>
  <c r="U41" i="117"/>
  <c r="Z41" i="117"/>
  <c r="AA41" i="117"/>
  <c r="AB41" i="117"/>
  <c r="AC41" i="117"/>
  <c r="Y42" i="117"/>
  <c r="Z42" i="117"/>
  <c r="AA42" i="117"/>
  <c r="T43" i="117"/>
  <c r="V43" i="117"/>
  <c r="Y43" i="117"/>
  <c r="AE4" i="117" s="1"/>
  <c r="Z43" i="117"/>
  <c r="AA43" i="117"/>
  <c r="AB43" i="117"/>
  <c r="T44" i="117"/>
  <c r="U44" i="117"/>
  <c r="AB44" i="117"/>
  <c r="AC44" i="117"/>
  <c r="Y45" i="117"/>
  <c r="Z45" i="117"/>
  <c r="AA45" i="117"/>
  <c r="T46" i="117"/>
  <c r="X46" i="117"/>
  <c r="Y46" i="117"/>
  <c r="Z46" i="117"/>
  <c r="AA46" i="117"/>
  <c r="AB46" i="117"/>
  <c r="T47" i="117"/>
  <c r="U47" i="117"/>
  <c r="V47" i="117"/>
  <c r="AD8" i="117" s="1"/>
  <c r="W47" i="117"/>
  <c r="X47" i="117"/>
  <c r="Y47" i="117"/>
  <c r="AE8" i="117" s="1"/>
  <c r="Z47" i="117"/>
  <c r="AA47" i="117"/>
  <c r="AB47" i="117"/>
  <c r="AC47" i="117"/>
  <c r="T48" i="117"/>
  <c r="U48" i="117"/>
  <c r="V48" i="117"/>
  <c r="W48" i="117"/>
  <c r="Y48" i="117"/>
  <c r="AE9" i="117" s="1"/>
  <c r="AA48" i="117"/>
  <c r="AB48" i="117"/>
  <c r="AC48" i="117"/>
  <c r="T49" i="117"/>
  <c r="U49" i="117"/>
  <c r="V49" i="117"/>
  <c r="W49" i="117"/>
  <c r="Z49" i="117"/>
  <c r="AB49" i="117"/>
  <c r="AC49" i="117"/>
  <c r="W50" i="117"/>
  <c r="X50" i="117"/>
  <c r="Y50" i="117"/>
  <c r="Z50" i="117"/>
  <c r="AA50" i="117"/>
  <c r="T51" i="117"/>
  <c r="U51" i="117"/>
  <c r="V51" i="117"/>
  <c r="AD12" i="117" s="1"/>
  <c r="W51" i="117"/>
  <c r="X51" i="117"/>
  <c r="Y51" i="117"/>
  <c r="Z51" i="117"/>
  <c r="AA51" i="117"/>
  <c r="AB51" i="117"/>
  <c r="AC51" i="117"/>
  <c r="T52" i="117"/>
  <c r="U52" i="117"/>
  <c r="V52" i="117"/>
  <c r="W52" i="117"/>
  <c r="Y52" i="117"/>
  <c r="AB52" i="117"/>
  <c r="AC52" i="117"/>
  <c r="T53" i="117"/>
  <c r="U53" i="117"/>
  <c r="W53" i="117"/>
  <c r="Y53" i="117"/>
  <c r="Z53" i="117"/>
  <c r="AA53" i="117"/>
  <c r="T54" i="117"/>
  <c r="U54" i="117"/>
  <c r="Y54" i="117"/>
  <c r="AE15" i="117" s="1"/>
  <c r="Z54" i="117"/>
  <c r="AA54" i="117"/>
  <c r="AB54" i="117"/>
  <c r="AC54" i="117"/>
  <c r="Y55" i="117"/>
  <c r="AE16" i="117" s="1"/>
  <c r="AA55" i="117"/>
  <c r="AC55" i="117"/>
  <c r="T56" i="117"/>
  <c r="Y56" i="117"/>
  <c r="AE17" i="117" s="1"/>
  <c r="Z56" i="117"/>
  <c r="AA56" i="117"/>
  <c r="AB56" i="117"/>
  <c r="AC56" i="117"/>
  <c r="T57" i="117"/>
  <c r="Y57" i="117"/>
  <c r="Z57" i="117"/>
  <c r="AA57" i="117"/>
  <c r="AB57" i="117"/>
  <c r="T58" i="117"/>
  <c r="U58" i="117"/>
  <c r="Y58" i="117"/>
  <c r="Z58" i="117"/>
  <c r="AA58" i="117"/>
  <c r="AB58" i="117"/>
  <c r="T59" i="117"/>
  <c r="U59" i="117"/>
  <c r="V59" i="117"/>
  <c r="W59" i="117"/>
  <c r="X59" i="117"/>
  <c r="Y59" i="117"/>
  <c r="AE20" i="117" s="1"/>
  <c r="AA59" i="117"/>
  <c r="AB59" i="117"/>
  <c r="AC59" i="117"/>
  <c r="T60" i="117"/>
  <c r="U60" i="117"/>
  <c r="V60" i="117"/>
  <c r="W60" i="117"/>
  <c r="Y60" i="117"/>
  <c r="Z60" i="117"/>
  <c r="AB60" i="117"/>
  <c r="T61" i="117"/>
  <c r="AD22" i="117" s="1"/>
  <c r="U61" i="117"/>
  <c r="W61" i="117"/>
  <c r="Z61" i="117"/>
  <c r="AA61" i="117"/>
  <c r="AB61" i="117"/>
  <c r="AC61" i="117"/>
  <c r="U62" i="117"/>
  <c r="Y62" i="117"/>
  <c r="Z62" i="117"/>
  <c r="AA62" i="117"/>
  <c r="AC62" i="117"/>
  <c r="V63" i="117"/>
  <c r="Y63" i="117"/>
  <c r="AE24" i="117" s="1"/>
  <c r="Z63" i="117"/>
  <c r="AA63" i="117"/>
  <c r="T64" i="117"/>
  <c r="U64" i="117"/>
  <c r="V64" i="117"/>
  <c r="Z64" i="117"/>
  <c r="AA64" i="117"/>
  <c r="AB64" i="117"/>
  <c r="AC64" i="117"/>
  <c r="T65" i="117"/>
  <c r="W65" i="117"/>
  <c r="AA65" i="117"/>
  <c r="AB65" i="117"/>
  <c r="AC65" i="117"/>
  <c r="U66" i="117"/>
  <c r="W66" i="117"/>
  <c r="X66" i="117"/>
  <c r="Y66" i="117"/>
  <c r="Z66" i="117"/>
  <c r="AA66" i="117"/>
  <c r="AB66" i="117"/>
  <c r="AC66" i="117"/>
  <c r="V67" i="117"/>
  <c r="W67" i="117"/>
  <c r="X67" i="117"/>
  <c r="Y67" i="117"/>
  <c r="Z67" i="117"/>
  <c r="AA67" i="117"/>
  <c r="T68" i="117"/>
  <c r="AD29" i="117" s="1"/>
  <c r="U68" i="117"/>
  <c r="V68" i="117"/>
  <c r="Z68" i="117"/>
  <c r="AA68" i="117"/>
  <c r="AB68" i="117"/>
  <c r="AC68" i="117"/>
  <c r="T69" i="117"/>
  <c r="U69" i="117"/>
  <c r="W69" i="117"/>
  <c r="Z69" i="117"/>
  <c r="AA69" i="117"/>
  <c r="AC69" i="117"/>
  <c r="U70" i="117"/>
  <c r="W70" i="117"/>
  <c r="X70" i="117"/>
  <c r="Y70" i="117"/>
  <c r="Z70" i="117"/>
  <c r="AA70" i="117"/>
  <c r="T71" i="117"/>
  <c r="U71" i="117"/>
  <c r="V71" i="117"/>
  <c r="W71" i="117"/>
  <c r="Z71" i="117"/>
  <c r="AA71" i="117"/>
  <c r="AB71" i="117"/>
  <c r="AC71" i="117"/>
  <c r="T72" i="117"/>
  <c r="U72" i="117"/>
  <c r="V72" i="117"/>
  <c r="W72" i="117"/>
  <c r="AB72" i="117"/>
  <c r="AC72" i="117"/>
  <c r="T73" i="117"/>
  <c r="U73" i="117"/>
  <c r="W73" i="117"/>
  <c r="Z73" i="117"/>
  <c r="AA73" i="117"/>
  <c r="AB73" i="117"/>
  <c r="AC73" i="117"/>
  <c r="T74" i="117"/>
  <c r="X74" i="117"/>
  <c r="Y74" i="117"/>
  <c r="Z74" i="117"/>
  <c r="AA74" i="117"/>
  <c r="AB74" i="117"/>
  <c r="T75" i="117"/>
  <c r="U75" i="117"/>
  <c r="V75" i="117"/>
  <c r="AD36" i="117" s="1"/>
  <c r="W75" i="117"/>
  <c r="Z75" i="117"/>
  <c r="AA75" i="117"/>
  <c r="AB75" i="117"/>
  <c r="AC75" i="117"/>
  <c r="T76" i="117"/>
  <c r="U76" i="117"/>
  <c r="V76" i="117"/>
  <c r="W76" i="117"/>
  <c r="Z76" i="117"/>
  <c r="AB76" i="117"/>
  <c r="AC76" i="117"/>
  <c r="G24" i="117" l="1"/>
  <c r="G32" i="117" s="1"/>
  <c r="B22" i="117"/>
  <c r="B30" i="117" s="1"/>
  <c r="D20" i="117"/>
  <c r="D28" i="117" s="1"/>
  <c r="D22" i="117"/>
  <c r="D30" i="117" s="1"/>
  <c r="F24" i="117"/>
  <c r="F32" i="117" s="1"/>
  <c r="F2" i="117"/>
  <c r="D25" i="117"/>
  <c r="D33" i="117" s="1"/>
  <c r="S27" i="117"/>
  <c r="E12" i="117"/>
  <c r="B20" i="120"/>
  <c r="D20" i="120"/>
  <c r="E38" i="120"/>
  <c r="D37" i="120"/>
  <c r="C37" i="120"/>
  <c r="C35" i="120"/>
  <c r="D19" i="120"/>
  <c r="E36" i="120"/>
  <c r="E34" i="120"/>
  <c r="C19" i="120"/>
  <c r="C20" i="120" s="1"/>
  <c r="E19" i="120"/>
  <c r="D36" i="120"/>
  <c r="D34" i="120"/>
  <c r="D38" i="120" s="1"/>
  <c r="C36" i="120"/>
  <c r="C34" i="120"/>
  <c r="C32" i="120"/>
  <c r="E18" i="120"/>
  <c r="E16" i="120"/>
  <c r="E20" i="120" s="1"/>
  <c r="AE27" i="119"/>
  <c r="AD17" i="119"/>
  <c r="S8" i="119"/>
  <c r="C3" i="119"/>
  <c r="C12" i="119" s="1"/>
  <c r="F6" i="119"/>
  <c r="S29" i="119"/>
  <c r="AD7" i="119"/>
  <c r="B7" i="119"/>
  <c r="B16" i="119" s="1"/>
  <c r="S37" i="119"/>
  <c r="T66" i="119"/>
  <c r="T70" i="119"/>
  <c r="Q31" i="119"/>
  <c r="G5" i="119"/>
  <c r="G14" i="119" s="1"/>
  <c r="S24" i="119"/>
  <c r="S12" i="119"/>
  <c r="G3" i="119"/>
  <c r="G12" i="119" s="1"/>
  <c r="AE2" i="119"/>
  <c r="AD5" i="119"/>
  <c r="R27" i="119"/>
  <c r="D24" i="119" s="1"/>
  <c r="D32" i="119" s="1"/>
  <c r="R20" i="119"/>
  <c r="C23" i="119" s="1"/>
  <c r="C31" i="119" s="1"/>
  <c r="R13" i="119"/>
  <c r="B21" i="119" s="1"/>
  <c r="B29" i="119" s="1"/>
  <c r="B34" i="119" s="1"/>
  <c r="B2" i="119"/>
  <c r="B11" i="119" s="1"/>
  <c r="S7" i="119"/>
  <c r="G34" i="119"/>
  <c r="T42" i="119"/>
  <c r="Q3" i="119"/>
  <c r="AE31" i="119"/>
  <c r="AE6" i="119"/>
  <c r="AE20" i="119"/>
  <c r="R37" i="119"/>
  <c r="B25" i="119" s="1"/>
  <c r="B33" i="119" s="1"/>
  <c r="Y76" i="119"/>
  <c r="AE37" i="119" s="1"/>
  <c r="Q35" i="119"/>
  <c r="R31" i="119"/>
  <c r="B24" i="119" s="1"/>
  <c r="B32" i="119" s="1"/>
  <c r="Q28" i="119"/>
  <c r="T67" i="119"/>
  <c r="AD28" i="119" s="1"/>
  <c r="Q21" i="119"/>
  <c r="Q14" i="119"/>
  <c r="AE13" i="119"/>
  <c r="AE9" i="119"/>
  <c r="D3" i="119"/>
  <c r="D12" i="119" s="1"/>
  <c r="AE21" i="119"/>
  <c r="X72" i="119"/>
  <c r="X76" i="119"/>
  <c r="AD37" i="119" s="1"/>
  <c r="X73" i="119"/>
  <c r="AD34" i="119" s="1"/>
  <c r="S32" i="119"/>
  <c r="C7" i="119"/>
  <c r="C16" i="119" s="1"/>
  <c r="X56" i="119"/>
  <c r="X53" i="119"/>
  <c r="R3" i="119"/>
  <c r="D20" i="119" s="1"/>
  <c r="D28" i="119" s="1"/>
  <c r="AD9" i="119"/>
  <c r="AD8" i="119"/>
  <c r="AE3" i="119"/>
  <c r="S33" i="119"/>
  <c r="R28" i="119"/>
  <c r="E24" i="119" s="1"/>
  <c r="E32" i="119" s="1"/>
  <c r="R25" i="119"/>
  <c r="B23" i="119" s="1"/>
  <c r="B31" i="119" s="1"/>
  <c r="Y64" i="119"/>
  <c r="AE25" i="119" s="1"/>
  <c r="R21" i="119"/>
  <c r="D23" i="119" s="1"/>
  <c r="D31" i="119" s="1"/>
  <c r="W53" i="119"/>
  <c r="AD14" i="119" s="1"/>
  <c r="W58" i="119"/>
  <c r="Q18" i="119"/>
  <c r="R14" i="119"/>
  <c r="C22" i="119" s="1"/>
  <c r="C30" i="119" s="1"/>
  <c r="Q4" i="119"/>
  <c r="AE11" i="119"/>
  <c r="T72" i="119"/>
  <c r="AD33" i="119" s="1"/>
  <c r="AE28" i="119"/>
  <c r="T65" i="119"/>
  <c r="AD25" i="119"/>
  <c r="AD10" i="119"/>
  <c r="R33" i="119"/>
  <c r="D25" i="119" s="1"/>
  <c r="D33" i="119" s="1"/>
  <c r="X60" i="119"/>
  <c r="X64" i="119"/>
  <c r="T62" i="119"/>
  <c r="AD23" i="119" s="1"/>
  <c r="Q23" i="119"/>
  <c r="Q22" i="119"/>
  <c r="T55" i="119"/>
  <c r="AD16" i="119" s="1"/>
  <c r="Q16" i="119"/>
  <c r="Q15" i="119"/>
  <c r="T50" i="119"/>
  <c r="AD11" i="119" s="1"/>
  <c r="Q11" i="119"/>
  <c r="AE10" i="119"/>
  <c r="E12" i="119"/>
  <c r="AD32" i="119"/>
  <c r="X74" i="119"/>
  <c r="AE14" i="119"/>
  <c r="AD13" i="119"/>
  <c r="AD12" i="119"/>
  <c r="Q36" i="119"/>
  <c r="Q34" i="119"/>
  <c r="AE33" i="119"/>
  <c r="V65" i="119"/>
  <c r="V69" i="119"/>
  <c r="AD30" i="119" s="1"/>
  <c r="V66" i="119"/>
  <c r="V70" i="119"/>
  <c r="S30" i="119"/>
  <c r="Q26" i="119"/>
  <c r="AD15" i="119"/>
  <c r="W45" i="119"/>
  <c r="AD6" i="119" s="1"/>
  <c r="W42" i="119"/>
  <c r="W46" i="119"/>
  <c r="R5" i="119"/>
  <c r="F20" i="119" s="1"/>
  <c r="F28" i="119" s="1"/>
  <c r="F34" i="119" s="1"/>
  <c r="F4" i="119"/>
  <c r="R2" i="119"/>
  <c r="C20" i="119" s="1"/>
  <c r="C28" i="119" s="1"/>
  <c r="AD29" i="119"/>
  <c r="Y75" i="119"/>
  <c r="AE36" i="119" s="1"/>
  <c r="R35" i="119"/>
  <c r="F25" i="119" s="1"/>
  <c r="F33" i="119" s="1"/>
  <c r="AE23" i="119"/>
  <c r="AD22" i="119"/>
  <c r="T60" i="119"/>
  <c r="AD21" i="119" s="1"/>
  <c r="AD20" i="119"/>
  <c r="W74" i="119"/>
  <c r="U66" i="119"/>
  <c r="U70" i="119"/>
  <c r="R29" i="119"/>
  <c r="F24" i="119" s="1"/>
  <c r="F32" i="119" s="1"/>
  <c r="Y68" i="119"/>
  <c r="AE29" i="119" s="1"/>
  <c r="AE26" i="119"/>
  <c r="R22" i="119"/>
  <c r="E23" i="119" s="1"/>
  <c r="E31" i="119" s="1"/>
  <c r="Y61" i="119"/>
  <c r="AE22" i="119" s="1"/>
  <c r="Q19" i="119"/>
  <c r="R16" i="119"/>
  <c r="E22" i="119" s="1"/>
  <c r="E30" i="119" s="1"/>
  <c r="E34" i="119" s="1"/>
  <c r="R11" i="119"/>
  <c r="F21" i="119" s="1"/>
  <c r="F29" i="119" s="1"/>
  <c r="V41" i="119"/>
  <c r="AD2" i="119" s="1"/>
  <c r="V42" i="119"/>
  <c r="V46" i="119"/>
  <c r="Q6" i="119"/>
  <c r="AE5" i="119"/>
  <c r="U55" i="119"/>
  <c r="T63" i="119"/>
  <c r="AD24" i="119" s="1"/>
  <c r="U58" i="119"/>
  <c r="C2" i="119"/>
  <c r="C11" i="119" s="1"/>
  <c r="S9" i="118"/>
  <c r="D3" i="118"/>
  <c r="AD14" i="118"/>
  <c r="AE30" i="118"/>
  <c r="S15" i="118"/>
  <c r="D4" i="118"/>
  <c r="C34" i="118"/>
  <c r="E3" i="118"/>
  <c r="S10" i="118"/>
  <c r="D34" i="118"/>
  <c r="AE18" i="118"/>
  <c r="AE11" i="118"/>
  <c r="T73" i="118"/>
  <c r="Y71" i="118"/>
  <c r="AE32" i="118" s="1"/>
  <c r="AE31" i="118"/>
  <c r="Y61" i="118"/>
  <c r="AE22" i="118" s="1"/>
  <c r="Y54" i="118"/>
  <c r="AE15" i="118" s="1"/>
  <c r="Y47" i="118"/>
  <c r="AE8" i="118" s="1"/>
  <c r="X42" i="118"/>
  <c r="R35" i="118"/>
  <c r="F25" i="118" s="1"/>
  <c r="F33" i="118" s="1"/>
  <c r="S33" i="118"/>
  <c r="R30" i="118"/>
  <c r="G24" i="118" s="1"/>
  <c r="G32" i="118" s="1"/>
  <c r="Q29" i="118"/>
  <c r="Q27" i="118"/>
  <c r="S23" i="118"/>
  <c r="R20" i="118"/>
  <c r="C23" i="118" s="1"/>
  <c r="C31" i="118" s="1"/>
  <c r="X57" i="118"/>
  <c r="AD18" i="118" s="1"/>
  <c r="AE13" i="118"/>
  <c r="Q13" i="118"/>
  <c r="Q12" i="118"/>
  <c r="AE10" i="118"/>
  <c r="G7" i="118"/>
  <c r="G16" i="118" s="1"/>
  <c r="X44" i="118"/>
  <c r="R4" i="118"/>
  <c r="E20" i="118" s="1"/>
  <c r="E28" i="118" s="1"/>
  <c r="E4" i="118"/>
  <c r="W41" i="118"/>
  <c r="AE23" i="118"/>
  <c r="R33" i="118"/>
  <c r="D25" i="118" s="1"/>
  <c r="D33" i="118" s="1"/>
  <c r="S32" i="118"/>
  <c r="C7" i="118"/>
  <c r="C16" i="118" s="1"/>
  <c r="Q24" i="118"/>
  <c r="T63" i="118"/>
  <c r="AD24" i="118" s="1"/>
  <c r="S22" i="118"/>
  <c r="E5" i="118"/>
  <c r="Q20" i="118"/>
  <c r="X49" i="118"/>
  <c r="AD10" i="118" s="1"/>
  <c r="B5" i="118"/>
  <c r="B14" i="118" s="1"/>
  <c r="V41" i="118"/>
  <c r="AD2" i="118" s="1"/>
  <c r="AD20" i="118"/>
  <c r="AE33" i="118"/>
  <c r="D16" i="118"/>
  <c r="R29" i="118"/>
  <c r="F24" i="118" s="1"/>
  <c r="F32" i="118" s="1"/>
  <c r="Y68" i="118"/>
  <c r="AE29" i="118" s="1"/>
  <c r="E7" i="118"/>
  <c r="E16" i="118" s="1"/>
  <c r="X56" i="118"/>
  <c r="X53" i="118"/>
  <c r="W42" i="118"/>
  <c r="W45" i="118"/>
  <c r="AD6" i="118" s="1"/>
  <c r="W46" i="118"/>
  <c r="T42" i="118"/>
  <c r="AD3" i="118" s="1"/>
  <c r="Q3" i="118"/>
  <c r="B7" i="118"/>
  <c r="B16" i="118" s="1"/>
  <c r="S37" i="118"/>
  <c r="R34" i="118"/>
  <c r="E25" i="118" s="1"/>
  <c r="E33" i="118" s="1"/>
  <c r="R25" i="118"/>
  <c r="B23" i="118" s="1"/>
  <c r="B31" i="118" s="1"/>
  <c r="Y64" i="118"/>
  <c r="AE25" i="118" s="1"/>
  <c r="R24" i="118"/>
  <c r="G23" i="118" s="1"/>
  <c r="G31" i="118" s="1"/>
  <c r="Y66" i="118"/>
  <c r="AE27" i="118" s="1"/>
  <c r="R37" i="118"/>
  <c r="B25" i="118" s="1"/>
  <c r="B33" i="118" s="1"/>
  <c r="Y76" i="118"/>
  <c r="AE37" i="118" s="1"/>
  <c r="Q35" i="118"/>
  <c r="V69" i="118"/>
  <c r="AD30" i="118" s="1"/>
  <c r="V66" i="118"/>
  <c r="V70" i="118"/>
  <c r="Q26" i="118"/>
  <c r="X60" i="118"/>
  <c r="AD21" i="118" s="1"/>
  <c r="X64" i="118"/>
  <c r="AD25" i="118" s="1"/>
  <c r="W61" i="118"/>
  <c r="AD22" i="118" s="1"/>
  <c r="V54" i="118"/>
  <c r="Q6" i="118"/>
  <c r="Q4" i="118"/>
  <c r="Q2" i="118"/>
  <c r="AD9" i="118"/>
  <c r="AE28" i="118"/>
  <c r="X50" i="118"/>
  <c r="Q18" i="118"/>
  <c r="AA70" i="118"/>
  <c r="AD26" i="118"/>
  <c r="AE21" i="118"/>
  <c r="X58" i="118"/>
  <c r="AE14" i="118"/>
  <c r="AD13" i="118"/>
  <c r="AE6" i="118"/>
  <c r="AD5" i="118"/>
  <c r="X76" i="118"/>
  <c r="AD37" i="118" s="1"/>
  <c r="X73" i="118"/>
  <c r="U66" i="118"/>
  <c r="U70" i="118"/>
  <c r="Q28" i="118"/>
  <c r="T67" i="118"/>
  <c r="AD28" i="118" s="1"/>
  <c r="U58" i="118"/>
  <c r="U55" i="118"/>
  <c r="AD16" i="118"/>
  <c r="U54" i="118"/>
  <c r="Q14" i="118"/>
  <c r="T50" i="118"/>
  <c r="Q11" i="118"/>
  <c r="Q7" i="118"/>
  <c r="R5" i="118"/>
  <c r="F20" i="118" s="1"/>
  <c r="F28" i="118" s="1"/>
  <c r="AD33" i="118"/>
  <c r="W54" i="118"/>
  <c r="V42" i="118"/>
  <c r="V46" i="118"/>
  <c r="W58" i="118"/>
  <c r="T56" i="118"/>
  <c r="AD17" i="118" s="1"/>
  <c r="AE3" i="118"/>
  <c r="V73" i="118"/>
  <c r="T66" i="118"/>
  <c r="T70" i="118"/>
  <c r="Q31" i="118"/>
  <c r="S30" i="118"/>
  <c r="AD23" i="118"/>
  <c r="Q21" i="118"/>
  <c r="Q19" i="118"/>
  <c r="R18" i="118"/>
  <c r="G22" i="118" s="1"/>
  <c r="G30" i="118" s="1"/>
  <c r="R13" i="118"/>
  <c r="B21" i="118" s="1"/>
  <c r="B29" i="118" s="1"/>
  <c r="B34" i="118" s="1"/>
  <c r="R10" i="118"/>
  <c r="E21" i="118" s="1"/>
  <c r="E29" i="118" s="1"/>
  <c r="X48" i="118"/>
  <c r="R6" i="118"/>
  <c r="G20" i="118" s="1"/>
  <c r="G28" i="118" s="1"/>
  <c r="AE5" i="118"/>
  <c r="Q5" i="118"/>
  <c r="F4" i="118"/>
  <c r="C3" i="118"/>
  <c r="X41" i="118"/>
  <c r="R28" i="118"/>
  <c r="E24" i="118" s="1"/>
  <c r="E32" i="118" s="1"/>
  <c r="R21" i="118"/>
  <c r="D23" i="118" s="1"/>
  <c r="D31" i="118" s="1"/>
  <c r="T43" i="118"/>
  <c r="AD4" i="118" s="1"/>
  <c r="T74" i="118"/>
  <c r="AD35" i="118" s="1"/>
  <c r="T58" i="118"/>
  <c r="AD19" i="118" s="1"/>
  <c r="T54" i="118"/>
  <c r="AD15" i="118" s="1"/>
  <c r="T46" i="118"/>
  <c r="S12" i="117"/>
  <c r="G3" i="117"/>
  <c r="G12" i="117" s="1"/>
  <c r="AD21" i="117"/>
  <c r="AD25" i="117"/>
  <c r="F6" i="117"/>
  <c r="S29" i="117"/>
  <c r="S36" i="117"/>
  <c r="G7" i="117"/>
  <c r="C5" i="117"/>
  <c r="S20" i="117"/>
  <c r="AE18" i="117"/>
  <c r="S32" i="117"/>
  <c r="C7" i="117"/>
  <c r="AE7" i="117"/>
  <c r="AD14" i="117"/>
  <c r="G6" i="117"/>
  <c r="S30" i="117"/>
  <c r="S8" i="117"/>
  <c r="C3" i="117"/>
  <c r="C12" i="117" s="1"/>
  <c r="AD32" i="117"/>
  <c r="AE35" i="117"/>
  <c r="AE19" i="117"/>
  <c r="AE14" i="117"/>
  <c r="X56" i="117"/>
  <c r="X53" i="117"/>
  <c r="X55" i="117"/>
  <c r="W54" i="117"/>
  <c r="AD15" i="117" s="1"/>
  <c r="U74" i="117"/>
  <c r="AD35" i="117" s="1"/>
  <c r="AE23" i="117"/>
  <c r="W56" i="117"/>
  <c r="X60" i="117"/>
  <c r="X64" i="117"/>
  <c r="AE31" i="117"/>
  <c r="AD26" i="117"/>
  <c r="AE21" i="117"/>
  <c r="V57" i="117"/>
  <c r="U43" i="117"/>
  <c r="AD4" i="117" s="1"/>
  <c r="D3" i="117"/>
  <c r="D12" i="117" s="1"/>
  <c r="X41" i="117"/>
  <c r="AD2" i="117" s="1"/>
  <c r="S4" i="117"/>
  <c r="E2" i="117"/>
  <c r="W41" i="117"/>
  <c r="W45" i="117"/>
  <c r="AD6" i="117" s="1"/>
  <c r="W42" i="117"/>
  <c r="W46" i="117"/>
  <c r="AD30" i="117"/>
  <c r="AD5" i="117"/>
  <c r="X58" i="117"/>
  <c r="AD19" i="117" s="1"/>
  <c r="AD13" i="117"/>
  <c r="V65" i="117"/>
  <c r="V69" i="117"/>
  <c r="V66" i="117"/>
  <c r="V70" i="117"/>
  <c r="V54" i="117"/>
  <c r="V56" i="117"/>
  <c r="AD9" i="117"/>
  <c r="T67" i="117"/>
  <c r="AD28" i="117" s="1"/>
  <c r="U55" i="117"/>
  <c r="T50" i="117"/>
  <c r="AD11" i="117" s="1"/>
  <c r="AE5" i="117"/>
  <c r="Y64" i="117"/>
  <c r="AE25" i="117" s="1"/>
  <c r="X63" i="117"/>
  <c r="AD20" i="117"/>
  <c r="U56" i="117"/>
  <c r="AD17" i="117" s="1"/>
  <c r="AE3" i="117"/>
  <c r="F25" i="117"/>
  <c r="F33" i="117" s="1"/>
  <c r="T66" i="117"/>
  <c r="T70" i="117"/>
  <c r="AD23" i="117"/>
  <c r="G22" i="117"/>
  <c r="G30" i="117" s="1"/>
  <c r="B21" i="117"/>
  <c r="B29" i="117" s="1"/>
  <c r="G20" i="117"/>
  <c r="G28" i="117" s="1"/>
  <c r="X44" i="117"/>
  <c r="U42" i="117"/>
  <c r="AE6" i="117"/>
  <c r="V41" i="117"/>
  <c r="V42" i="117"/>
  <c r="V46" i="117"/>
  <c r="AD7" i="117" s="1"/>
  <c r="W57" i="117"/>
  <c r="AD18" i="117" s="1"/>
  <c r="W55" i="117"/>
  <c r="AD16" i="117" s="1"/>
  <c r="F20" i="117"/>
  <c r="F28" i="117" s="1"/>
  <c r="X62" i="117"/>
  <c r="V55" i="117"/>
  <c r="AD10" i="117"/>
  <c r="Y76" i="117"/>
  <c r="AE37" i="117" s="1"/>
  <c r="Y72" i="117"/>
  <c r="AE33" i="117" s="1"/>
  <c r="AE27" i="117"/>
  <c r="W64" i="117"/>
  <c r="X42" i="117"/>
  <c r="S33" i="117"/>
  <c r="E24" i="117"/>
  <c r="E32" i="117" s="1"/>
  <c r="S23" i="117"/>
  <c r="C23" i="117"/>
  <c r="C31" i="117" s="1"/>
  <c r="X57" i="117"/>
  <c r="E22" i="117"/>
  <c r="E30" i="117" s="1"/>
  <c r="C22" i="117"/>
  <c r="C30" i="117" s="1"/>
  <c r="C34" i="117" s="1"/>
  <c r="F21" i="117"/>
  <c r="F29" i="117" s="1"/>
  <c r="AE10" i="117"/>
  <c r="B20" i="117"/>
  <c r="B28" i="117" s="1"/>
  <c r="T42" i="117"/>
  <c r="AD3" i="117" s="1"/>
  <c r="AE11" i="117"/>
  <c r="S37" i="117"/>
  <c r="B7" i="117"/>
  <c r="B16" i="117" s="1"/>
  <c r="E23" i="117"/>
  <c r="E31" i="117" s="1"/>
  <c r="Y61" i="117"/>
  <c r="AE22" i="117" s="1"/>
  <c r="AD33" i="117"/>
  <c r="X72" i="117"/>
  <c r="X76" i="117"/>
  <c r="AD37" i="117" s="1"/>
  <c r="X73" i="117"/>
  <c r="AD34" i="117" s="1"/>
  <c r="AE28" i="117"/>
  <c r="Y75" i="117"/>
  <c r="AE36" i="117" s="1"/>
  <c r="Y71" i="117"/>
  <c r="AE32" i="117" s="1"/>
  <c r="Y68" i="117"/>
  <c r="AE29" i="117" s="1"/>
  <c r="AE13" i="117"/>
  <c r="W44" i="117"/>
  <c r="X43" i="117"/>
  <c r="B24" i="117"/>
  <c r="B32" i="117" s="1"/>
  <c r="AE30" i="117"/>
  <c r="T63" i="117"/>
  <c r="AD24" i="117" s="1"/>
  <c r="D23" i="117"/>
  <c r="D31" i="117" s="1"/>
  <c r="X49" i="117"/>
  <c r="C6" i="117"/>
  <c r="AE2" i="117"/>
  <c r="Y73" i="117"/>
  <c r="AE34" i="117" s="1"/>
  <c r="E34" i="117" l="1"/>
  <c r="D34" i="117"/>
  <c r="D16" i="117"/>
  <c r="G16" i="117"/>
  <c r="C38" i="120"/>
  <c r="E7" i="119"/>
  <c r="E16" i="119" s="1"/>
  <c r="S34" i="119"/>
  <c r="S15" i="119"/>
  <c r="D4" i="119"/>
  <c r="D13" i="119" s="1"/>
  <c r="S35" i="119"/>
  <c r="F7" i="119"/>
  <c r="F16" i="119" s="1"/>
  <c r="E4" i="119"/>
  <c r="E13" i="119" s="1"/>
  <c r="S16" i="119"/>
  <c r="S18" i="119"/>
  <c r="G4" i="119"/>
  <c r="S22" i="119"/>
  <c r="E5" i="119"/>
  <c r="E14" i="119" s="1"/>
  <c r="S26" i="119"/>
  <c r="N31" i="119" s="1"/>
  <c r="C6" i="119"/>
  <c r="C15" i="119" s="1"/>
  <c r="S36" i="119"/>
  <c r="G7" i="119"/>
  <c r="G16" i="119" s="1"/>
  <c r="AD31" i="119"/>
  <c r="S6" i="119"/>
  <c r="G2" i="119"/>
  <c r="G11" i="119" s="1"/>
  <c r="N37" i="119"/>
  <c r="D16" i="119"/>
  <c r="D34" i="119"/>
  <c r="B6" i="119"/>
  <c r="S31" i="119"/>
  <c r="F11" i="119"/>
  <c r="B4" i="119"/>
  <c r="B13" i="119" s="1"/>
  <c r="S19" i="119"/>
  <c r="AD35" i="119"/>
  <c r="C34" i="119"/>
  <c r="F3" i="119"/>
  <c r="F12" i="119" s="1"/>
  <c r="S11" i="119"/>
  <c r="N13" i="119" s="1"/>
  <c r="S28" i="119"/>
  <c r="E6" i="119"/>
  <c r="E15" i="119" s="1"/>
  <c r="D2" i="119"/>
  <c r="D11" i="119" s="1"/>
  <c r="S3" i="119"/>
  <c r="N7" i="119" s="1"/>
  <c r="AD27" i="119"/>
  <c r="AD19" i="119"/>
  <c r="AD26" i="119"/>
  <c r="S14" i="119"/>
  <c r="C4" i="119"/>
  <c r="F15" i="119"/>
  <c r="F5" i="119"/>
  <c r="F14" i="119" s="1"/>
  <c r="S23" i="119"/>
  <c r="D5" i="119"/>
  <c r="D14" i="119" s="1"/>
  <c r="S21" i="119"/>
  <c r="N25" i="119" s="1"/>
  <c r="S4" i="119"/>
  <c r="E2" i="119"/>
  <c r="E11" i="119" s="1"/>
  <c r="AD3" i="119"/>
  <c r="B4" i="118"/>
  <c r="B13" i="118" s="1"/>
  <c r="S19" i="118"/>
  <c r="D2" i="118"/>
  <c r="D11" i="118" s="1"/>
  <c r="S3" i="118"/>
  <c r="S27" i="118"/>
  <c r="D6" i="118"/>
  <c r="D15" i="118" s="1"/>
  <c r="N37" i="118"/>
  <c r="S26" i="118"/>
  <c r="N31" i="118" s="1"/>
  <c r="C6" i="118"/>
  <c r="E6" i="118"/>
  <c r="E15" i="118" s="1"/>
  <c r="S28" i="118"/>
  <c r="G34" i="118"/>
  <c r="C4" i="118"/>
  <c r="C13" i="118" s="1"/>
  <c r="S14" i="118"/>
  <c r="N19" i="118" s="1"/>
  <c r="S2" i="118"/>
  <c r="N7" i="118" s="1"/>
  <c r="C2" i="118"/>
  <c r="AD34" i="118"/>
  <c r="AD31" i="118"/>
  <c r="G2" i="118"/>
  <c r="G11" i="118" s="1"/>
  <c r="S6" i="118"/>
  <c r="E13" i="118"/>
  <c r="D13" i="118"/>
  <c r="D5" i="118"/>
  <c r="D14" i="118" s="1"/>
  <c r="S21" i="118"/>
  <c r="F14" i="118"/>
  <c r="F6" i="118"/>
  <c r="F15" i="118" s="1"/>
  <c r="S29" i="118"/>
  <c r="AD11" i="118"/>
  <c r="S12" i="118"/>
  <c r="G3" i="118"/>
  <c r="C5" i="118"/>
  <c r="C14" i="118" s="1"/>
  <c r="S20" i="118"/>
  <c r="E14" i="118"/>
  <c r="AD27" i="118"/>
  <c r="S35" i="118"/>
  <c r="F7" i="118"/>
  <c r="F16" i="118" s="1"/>
  <c r="E34" i="118"/>
  <c r="F13" i="118"/>
  <c r="B2" i="118"/>
  <c r="B11" i="118" s="1"/>
  <c r="S7" i="118"/>
  <c r="F2" i="118"/>
  <c r="F11" i="118" s="1"/>
  <c r="S5" i="118"/>
  <c r="F3" i="118"/>
  <c r="S11" i="118"/>
  <c r="N13" i="118" s="1"/>
  <c r="S13" i="118"/>
  <c r="B3" i="118"/>
  <c r="B12" i="118" s="1"/>
  <c r="B6" i="118"/>
  <c r="S31" i="118"/>
  <c r="S4" i="118"/>
  <c r="E2" i="118"/>
  <c r="E11" i="118" s="1"/>
  <c r="AD7" i="118"/>
  <c r="F34" i="118"/>
  <c r="S18" i="118"/>
  <c r="G4" i="118"/>
  <c r="G13" i="118" s="1"/>
  <c r="S24" i="118"/>
  <c r="G5" i="118"/>
  <c r="G14" i="118" s="1"/>
  <c r="G2" i="117"/>
  <c r="S6" i="117"/>
  <c r="D2" i="117"/>
  <c r="S3" i="117"/>
  <c r="S17" i="117"/>
  <c r="F4" i="117"/>
  <c r="G34" i="117"/>
  <c r="B2" i="117"/>
  <c r="S7" i="117"/>
  <c r="S24" i="117"/>
  <c r="G5" i="117"/>
  <c r="B34" i="117"/>
  <c r="S18" i="117"/>
  <c r="G4" i="117"/>
  <c r="C4" i="117"/>
  <c r="S14" i="117"/>
  <c r="C16" i="117"/>
  <c r="S16" i="117"/>
  <c r="E4" i="117"/>
  <c r="B6" i="117"/>
  <c r="F15" i="117" s="1"/>
  <c r="S31" i="117"/>
  <c r="B4" i="117"/>
  <c r="B13" i="117" s="1"/>
  <c r="S19" i="117"/>
  <c r="D5" i="117"/>
  <c r="S21" i="117"/>
  <c r="S15" i="117"/>
  <c r="D4" i="117"/>
  <c r="F34" i="117"/>
  <c r="AD31" i="117"/>
  <c r="F3" i="117"/>
  <c r="F12" i="117" s="1"/>
  <c r="S11" i="117"/>
  <c r="N13" i="117" s="1"/>
  <c r="S35" i="117"/>
  <c r="F7" i="117"/>
  <c r="F16" i="117" s="1"/>
  <c r="S34" i="117"/>
  <c r="E7" i="117"/>
  <c r="E16" i="117" s="1"/>
  <c r="S22" i="117"/>
  <c r="E5" i="117"/>
  <c r="S2" i="117"/>
  <c r="C2" i="117"/>
  <c r="AD27" i="117"/>
  <c r="E6" i="117"/>
  <c r="S28" i="117"/>
  <c r="S25" i="117"/>
  <c r="B5" i="117"/>
  <c r="C14" i="117" s="1"/>
  <c r="E14" i="117" l="1"/>
  <c r="N37" i="117"/>
  <c r="F13" i="117"/>
  <c r="E13" i="117"/>
  <c r="N25" i="117"/>
  <c r="D14" i="117"/>
  <c r="C13" i="117"/>
  <c r="D13" i="117"/>
  <c r="G14" i="117"/>
  <c r="E15" i="117"/>
  <c r="N7" i="117"/>
  <c r="E17" i="119"/>
  <c r="G13" i="119"/>
  <c r="G17" i="119"/>
  <c r="D17" i="119"/>
  <c r="N19" i="119"/>
  <c r="C13" i="119"/>
  <c r="C17" i="119" s="1"/>
  <c r="F13" i="119"/>
  <c r="F17" i="119" s="1"/>
  <c r="B15" i="119"/>
  <c r="B17" i="119" s="1"/>
  <c r="G15" i="119"/>
  <c r="D15" i="119"/>
  <c r="E12" i="118"/>
  <c r="F12" i="118"/>
  <c r="F17" i="118" s="1"/>
  <c r="D12" i="118"/>
  <c r="D17" i="118" s="1"/>
  <c r="C12" i="118"/>
  <c r="G12" i="118"/>
  <c r="G17" i="118" s="1"/>
  <c r="E17" i="118"/>
  <c r="N25" i="118"/>
  <c r="B15" i="118"/>
  <c r="G15" i="118"/>
  <c r="B17" i="118"/>
  <c r="C11" i="118"/>
  <c r="C15" i="118"/>
  <c r="B11" i="117"/>
  <c r="F11" i="117"/>
  <c r="D11" i="117"/>
  <c r="B15" i="117"/>
  <c r="D15" i="117"/>
  <c r="C11" i="117"/>
  <c r="B14" i="117"/>
  <c r="F14" i="117"/>
  <c r="E11" i="117"/>
  <c r="C15" i="117"/>
  <c r="G15" i="117"/>
  <c r="N19" i="117"/>
  <c r="N31" i="117"/>
  <c r="G13" i="117"/>
  <c r="G11" i="117"/>
  <c r="G17" i="117" l="1"/>
  <c r="E17" i="117"/>
  <c r="C17" i="117"/>
  <c r="F17" i="117"/>
  <c r="C17" i="118"/>
  <c r="D17" i="117"/>
  <c r="B17" i="117"/>
  <c r="G30" i="116" l="1"/>
  <c r="F30" i="116"/>
  <c r="E30" i="116"/>
  <c r="D30" i="116"/>
  <c r="C30" i="116"/>
  <c r="B30" i="116"/>
  <c r="A30" i="116"/>
  <c r="G29" i="116"/>
  <c r="F29" i="116"/>
  <c r="E29" i="116"/>
  <c r="D29" i="116"/>
  <c r="C29" i="116"/>
  <c r="B29" i="116"/>
  <c r="A29" i="116"/>
  <c r="G28" i="116"/>
  <c r="F28" i="116"/>
  <c r="E28" i="116"/>
  <c r="D28" i="116"/>
  <c r="C28" i="116"/>
  <c r="B28" i="116"/>
  <c r="A28" i="116"/>
  <c r="G27" i="116"/>
  <c r="F27" i="116"/>
  <c r="E27" i="116"/>
  <c r="D27" i="116"/>
  <c r="C27" i="116"/>
  <c r="B27" i="116"/>
  <c r="A27" i="116"/>
  <c r="G26" i="116"/>
  <c r="F26" i="116"/>
  <c r="E26" i="116"/>
  <c r="D26" i="116"/>
  <c r="C26" i="116"/>
  <c r="B26" i="116"/>
  <c r="A26" i="116"/>
  <c r="A18" i="116"/>
  <c r="A17" i="116"/>
  <c r="A16" i="116"/>
  <c r="A15" i="116"/>
  <c r="A14" i="116"/>
  <c r="G6" i="116"/>
  <c r="G18" i="116" s="1"/>
  <c r="F6" i="116"/>
  <c r="F18" i="116" s="1"/>
  <c r="E6" i="116"/>
  <c r="E18" i="116" s="1"/>
  <c r="D6" i="116"/>
  <c r="D18" i="116" s="1"/>
  <c r="C6" i="116"/>
  <c r="C18" i="116" s="1"/>
  <c r="B6" i="116"/>
  <c r="G5" i="116"/>
  <c r="G17" i="116" s="1"/>
  <c r="F5" i="116"/>
  <c r="F17" i="116" s="1"/>
  <c r="E5" i="116"/>
  <c r="E17" i="116" s="1"/>
  <c r="D5" i="116"/>
  <c r="D17" i="116" s="1"/>
  <c r="C5" i="116"/>
  <c r="C17" i="116" s="1"/>
  <c r="B5" i="116"/>
  <c r="B17" i="116" s="1"/>
  <c r="G4" i="116"/>
  <c r="G16" i="116" s="1"/>
  <c r="F4" i="116"/>
  <c r="E4" i="116"/>
  <c r="D4" i="116"/>
  <c r="C4" i="116"/>
  <c r="B4" i="116"/>
  <c r="G3" i="116"/>
  <c r="G15" i="116" s="1"/>
  <c r="F3" i="116"/>
  <c r="F15" i="116" s="1"/>
  <c r="E3" i="116"/>
  <c r="E15" i="116" s="1"/>
  <c r="D3" i="116"/>
  <c r="C3" i="116"/>
  <c r="B3" i="116"/>
  <c r="G2" i="116"/>
  <c r="G14" i="116" s="1"/>
  <c r="F2" i="116"/>
  <c r="F14" i="116" s="1"/>
  <c r="E2" i="116"/>
  <c r="D2" i="116"/>
  <c r="C2" i="116"/>
  <c r="B2" i="116"/>
  <c r="G31" i="115"/>
  <c r="F31" i="115"/>
  <c r="E31" i="115"/>
  <c r="D31" i="115"/>
  <c r="C31" i="115"/>
  <c r="B31" i="115"/>
  <c r="G30" i="115"/>
  <c r="F30" i="115"/>
  <c r="E30" i="115"/>
  <c r="D30" i="115"/>
  <c r="C30" i="115"/>
  <c r="B30" i="115"/>
  <c r="A30" i="115"/>
  <c r="G29" i="115"/>
  <c r="F29" i="115"/>
  <c r="E29" i="115"/>
  <c r="D29" i="115"/>
  <c r="C29" i="115"/>
  <c r="B29" i="115"/>
  <c r="A29" i="115"/>
  <c r="G28" i="115"/>
  <c r="F28" i="115"/>
  <c r="E28" i="115"/>
  <c r="D28" i="115"/>
  <c r="C28" i="115"/>
  <c r="B28" i="115"/>
  <c r="A28" i="115"/>
  <c r="G27" i="115"/>
  <c r="F27" i="115"/>
  <c r="E27" i="115"/>
  <c r="D27" i="115"/>
  <c r="C27" i="115"/>
  <c r="B27" i="115"/>
  <c r="A27" i="115"/>
  <c r="G26" i="115"/>
  <c r="F26" i="115"/>
  <c r="E26" i="115"/>
  <c r="D26" i="115"/>
  <c r="C26" i="115"/>
  <c r="B26" i="115"/>
  <c r="A26" i="115"/>
  <c r="A18" i="115"/>
  <c r="A17" i="115"/>
  <c r="A16" i="115"/>
  <c r="A15" i="115"/>
  <c r="A14" i="115"/>
  <c r="G7" i="115"/>
  <c r="G19" i="115" s="1"/>
  <c r="F7" i="115"/>
  <c r="E7" i="115"/>
  <c r="D7" i="115"/>
  <c r="C7" i="115"/>
  <c r="B7" i="115"/>
  <c r="G6" i="115"/>
  <c r="F6" i="115"/>
  <c r="E6" i="115"/>
  <c r="D6" i="115"/>
  <c r="C6" i="115"/>
  <c r="B6" i="115"/>
  <c r="G5" i="115"/>
  <c r="G17" i="115" s="1"/>
  <c r="F5" i="115"/>
  <c r="F17" i="115" s="1"/>
  <c r="E5" i="115"/>
  <c r="D5" i="115"/>
  <c r="C5" i="115"/>
  <c r="B5" i="115"/>
  <c r="G4" i="115"/>
  <c r="G16" i="115" s="1"/>
  <c r="F4" i="115"/>
  <c r="E4" i="115"/>
  <c r="D4" i="115"/>
  <c r="C4" i="115"/>
  <c r="B4" i="115"/>
  <c r="G3" i="115"/>
  <c r="G15" i="115" s="1"/>
  <c r="F3" i="115"/>
  <c r="F15" i="115" s="1"/>
  <c r="E3" i="115"/>
  <c r="D3" i="115"/>
  <c r="C3" i="115"/>
  <c r="B3" i="115"/>
  <c r="G2" i="115"/>
  <c r="G14" i="115" s="1"/>
  <c r="F2" i="115"/>
  <c r="F14" i="115" s="1"/>
  <c r="E2" i="115"/>
  <c r="D2" i="115"/>
  <c r="C2" i="115"/>
  <c r="B2" i="115"/>
  <c r="E14" i="115" l="1"/>
  <c r="E19" i="115"/>
  <c r="C19" i="115"/>
  <c r="B19" i="115"/>
  <c r="E16" i="115"/>
  <c r="B14" i="115"/>
  <c r="D19" i="115"/>
  <c r="C14" i="115"/>
  <c r="D14" i="115"/>
  <c r="F19" i="115"/>
  <c r="D18" i="115"/>
  <c r="E18" i="115"/>
  <c r="F18" i="115"/>
  <c r="F16" i="115"/>
  <c r="D16" i="115"/>
  <c r="B17" i="115"/>
  <c r="D17" i="115"/>
  <c r="C17" i="115"/>
  <c r="E17" i="115"/>
  <c r="D16" i="116"/>
  <c r="E16" i="116"/>
  <c r="B16" i="116"/>
  <c r="C16" i="116"/>
  <c r="F16" i="116"/>
  <c r="B14" i="116"/>
  <c r="C14" i="116"/>
  <c r="E14" i="116"/>
  <c r="B15" i="116"/>
  <c r="C15" i="116"/>
  <c r="D15" i="116"/>
  <c r="B18" i="116"/>
  <c r="D14" i="116"/>
  <c r="B16" i="115"/>
  <c r="C16" i="115"/>
  <c r="C18" i="115"/>
  <c r="B18" i="115"/>
  <c r="G18" i="115"/>
  <c r="C15" i="115"/>
  <c r="B15" i="115"/>
  <c r="D15" i="115"/>
  <c r="E15" i="115"/>
  <c r="D6" i="102"/>
  <c r="B31" i="99" l="1"/>
  <c r="C31" i="99"/>
  <c r="D31" i="99"/>
  <c r="E31" i="99"/>
  <c r="F31" i="99"/>
  <c r="G31" i="99"/>
  <c r="B7" i="99"/>
  <c r="C7" i="99"/>
  <c r="D7" i="99"/>
  <c r="E7" i="99"/>
  <c r="F7" i="99"/>
  <c r="G7" i="99"/>
  <c r="B31" i="98"/>
  <c r="C31" i="98"/>
  <c r="D31" i="98"/>
  <c r="E31" i="98"/>
  <c r="F31" i="98"/>
  <c r="G31" i="98"/>
  <c r="B7" i="98"/>
  <c r="C7" i="98"/>
  <c r="D7" i="98"/>
  <c r="E7" i="98"/>
  <c r="F7" i="98"/>
  <c r="G7" i="98"/>
  <c r="G19" i="98" s="1"/>
  <c r="F19" i="99" l="1"/>
  <c r="E19" i="98"/>
  <c r="F19" i="98"/>
  <c r="D19" i="98"/>
  <c r="C19" i="98"/>
  <c r="B19" i="98"/>
  <c r="E19" i="99"/>
  <c r="D19" i="99"/>
  <c r="B19" i="99"/>
  <c r="G19" i="99"/>
  <c r="C19" i="99"/>
  <c r="G30" i="102" l="1"/>
  <c r="F30" i="102"/>
  <c r="E30" i="102"/>
  <c r="D30" i="102"/>
  <c r="C30" i="102"/>
  <c r="B30" i="102"/>
  <c r="A30" i="102"/>
  <c r="G29" i="102"/>
  <c r="F29" i="102"/>
  <c r="E29" i="102"/>
  <c r="D29" i="102"/>
  <c r="C29" i="102"/>
  <c r="B29" i="102"/>
  <c r="A29" i="102"/>
  <c r="G28" i="102"/>
  <c r="F28" i="102"/>
  <c r="E28" i="102"/>
  <c r="D28" i="102"/>
  <c r="C28" i="102"/>
  <c r="B28" i="102"/>
  <c r="A28" i="102"/>
  <c r="G27" i="102"/>
  <c r="F27" i="102"/>
  <c r="E27" i="102"/>
  <c r="D27" i="102"/>
  <c r="C27" i="102"/>
  <c r="B27" i="102"/>
  <c r="A27" i="102"/>
  <c r="G26" i="102"/>
  <c r="F26" i="102"/>
  <c r="E26" i="102"/>
  <c r="D26" i="102"/>
  <c r="C26" i="102"/>
  <c r="B26" i="102"/>
  <c r="A26" i="102"/>
  <c r="A18" i="102"/>
  <c r="A17" i="102"/>
  <c r="A16" i="102"/>
  <c r="A15" i="102"/>
  <c r="A14" i="102"/>
  <c r="G6" i="102"/>
  <c r="D18" i="102" s="1"/>
  <c r="F6" i="102"/>
  <c r="E6" i="102"/>
  <c r="C6" i="102"/>
  <c r="B6" i="102"/>
  <c r="G5" i="102"/>
  <c r="G17" i="102" s="1"/>
  <c r="F5" i="102"/>
  <c r="E5" i="102"/>
  <c r="D5" i="102"/>
  <c r="C5" i="102"/>
  <c r="B5" i="102"/>
  <c r="G4" i="102"/>
  <c r="G16" i="102" s="1"/>
  <c r="F4" i="102"/>
  <c r="E4" i="102"/>
  <c r="D4" i="102"/>
  <c r="C4" i="102"/>
  <c r="B4" i="102"/>
  <c r="G3" i="102"/>
  <c r="G15" i="102" s="1"/>
  <c r="F3" i="102"/>
  <c r="E3" i="102"/>
  <c r="D3" i="102"/>
  <c r="C3" i="102"/>
  <c r="B3" i="102"/>
  <c r="G2" i="102"/>
  <c r="G14" i="102" s="1"/>
  <c r="F2" i="102"/>
  <c r="E2" i="102"/>
  <c r="D2" i="102"/>
  <c r="C2" i="102"/>
  <c r="B2" i="102"/>
  <c r="G30" i="101"/>
  <c r="F30" i="101"/>
  <c r="E30" i="101"/>
  <c r="D30" i="101"/>
  <c r="C30" i="101"/>
  <c r="B30" i="101"/>
  <c r="A30" i="101"/>
  <c r="G29" i="101"/>
  <c r="F29" i="101"/>
  <c r="E29" i="101"/>
  <c r="D29" i="101"/>
  <c r="C29" i="101"/>
  <c r="B29" i="101"/>
  <c r="A29" i="101"/>
  <c r="G28" i="101"/>
  <c r="F28" i="101"/>
  <c r="E28" i="101"/>
  <c r="D28" i="101"/>
  <c r="C28" i="101"/>
  <c r="B28" i="101"/>
  <c r="A28" i="101"/>
  <c r="G27" i="101"/>
  <c r="F27" i="101"/>
  <c r="E27" i="101"/>
  <c r="D27" i="101"/>
  <c r="C27" i="101"/>
  <c r="B27" i="101"/>
  <c r="A27" i="101"/>
  <c r="G26" i="101"/>
  <c r="F26" i="101"/>
  <c r="E26" i="101"/>
  <c r="D26" i="101"/>
  <c r="C26" i="101"/>
  <c r="B26" i="101"/>
  <c r="A26" i="101"/>
  <c r="A18" i="101"/>
  <c r="A17" i="101"/>
  <c r="A16" i="101"/>
  <c r="A15" i="101"/>
  <c r="A14" i="101"/>
  <c r="G6" i="101"/>
  <c r="F6" i="101"/>
  <c r="E6" i="101"/>
  <c r="D6" i="101"/>
  <c r="C6" i="101"/>
  <c r="B6" i="101"/>
  <c r="G5" i="101"/>
  <c r="F5" i="101"/>
  <c r="E5" i="101"/>
  <c r="D5" i="101"/>
  <c r="C5" i="101"/>
  <c r="B5" i="101"/>
  <c r="G4" i="101"/>
  <c r="G16" i="101" s="1"/>
  <c r="F4" i="101"/>
  <c r="E4" i="101"/>
  <c r="D4" i="101"/>
  <c r="C4" i="101"/>
  <c r="B4" i="101"/>
  <c r="G3" i="101"/>
  <c r="G15" i="101" s="1"/>
  <c r="F3" i="101"/>
  <c r="E3" i="101"/>
  <c r="D3" i="101"/>
  <c r="C3" i="101"/>
  <c r="B3" i="101"/>
  <c r="G2" i="101"/>
  <c r="G14" i="101" s="1"/>
  <c r="F2" i="101"/>
  <c r="E2" i="101"/>
  <c r="D2" i="101"/>
  <c r="C2" i="101"/>
  <c r="B2" i="101"/>
  <c r="G30" i="99"/>
  <c r="F30" i="99"/>
  <c r="E30" i="99"/>
  <c r="D30" i="99"/>
  <c r="C30" i="99"/>
  <c r="B30" i="99"/>
  <c r="A30" i="99"/>
  <c r="G29" i="99"/>
  <c r="F29" i="99"/>
  <c r="E29" i="99"/>
  <c r="D29" i="99"/>
  <c r="C29" i="99"/>
  <c r="B29" i="99"/>
  <c r="A29" i="99"/>
  <c r="G28" i="99"/>
  <c r="F28" i="99"/>
  <c r="E28" i="99"/>
  <c r="D28" i="99"/>
  <c r="C28" i="99"/>
  <c r="B28" i="99"/>
  <c r="A28" i="99"/>
  <c r="G27" i="99"/>
  <c r="F27" i="99"/>
  <c r="E27" i="99"/>
  <c r="D27" i="99"/>
  <c r="C27" i="99"/>
  <c r="B27" i="99"/>
  <c r="A27" i="99"/>
  <c r="G26" i="99"/>
  <c r="F26" i="99"/>
  <c r="E26" i="99"/>
  <c r="D26" i="99"/>
  <c r="C26" i="99"/>
  <c r="B26" i="99"/>
  <c r="A26" i="99"/>
  <c r="A18" i="99"/>
  <c r="A17" i="99"/>
  <c r="A16" i="99"/>
  <c r="A15" i="99"/>
  <c r="A14" i="99"/>
  <c r="G6" i="99"/>
  <c r="G18" i="99" s="1"/>
  <c r="F6" i="99"/>
  <c r="E6" i="99"/>
  <c r="D6" i="99"/>
  <c r="C6" i="99"/>
  <c r="B6" i="99"/>
  <c r="G5" i="99"/>
  <c r="G17" i="99" s="1"/>
  <c r="F5" i="99"/>
  <c r="E5" i="99"/>
  <c r="D5" i="99"/>
  <c r="C5" i="99"/>
  <c r="B5" i="99"/>
  <c r="G4" i="99"/>
  <c r="G16" i="99" s="1"/>
  <c r="F4" i="99"/>
  <c r="E4" i="99"/>
  <c r="D4" i="99"/>
  <c r="C4" i="99"/>
  <c r="B4" i="99"/>
  <c r="G3" i="99"/>
  <c r="G15" i="99" s="1"/>
  <c r="F3" i="99"/>
  <c r="E3" i="99"/>
  <c r="D3" i="99"/>
  <c r="C3" i="99"/>
  <c r="B3" i="99"/>
  <c r="G2" i="99"/>
  <c r="F2" i="99"/>
  <c r="E2" i="99"/>
  <c r="D2" i="99"/>
  <c r="C2" i="99"/>
  <c r="B2" i="99"/>
  <c r="G30" i="98"/>
  <c r="F30" i="98"/>
  <c r="E30" i="98"/>
  <c r="D30" i="98"/>
  <c r="C30" i="98"/>
  <c r="B30" i="98"/>
  <c r="A30" i="98"/>
  <c r="G29" i="98"/>
  <c r="F29" i="98"/>
  <c r="E29" i="98"/>
  <c r="D29" i="98"/>
  <c r="C29" i="98"/>
  <c r="B29" i="98"/>
  <c r="A29" i="98"/>
  <c r="G28" i="98"/>
  <c r="F28" i="98"/>
  <c r="E28" i="98"/>
  <c r="D28" i="98"/>
  <c r="C28" i="98"/>
  <c r="B28" i="98"/>
  <c r="A28" i="98"/>
  <c r="G27" i="98"/>
  <c r="F27" i="98"/>
  <c r="E27" i="98"/>
  <c r="D27" i="98"/>
  <c r="C27" i="98"/>
  <c r="B27" i="98"/>
  <c r="A27" i="98"/>
  <c r="G26" i="98"/>
  <c r="F26" i="98"/>
  <c r="E26" i="98"/>
  <c r="D26" i="98"/>
  <c r="C26" i="98"/>
  <c r="B26" i="98"/>
  <c r="A26" i="98"/>
  <c r="A18" i="98"/>
  <c r="A17" i="98"/>
  <c r="A16" i="98"/>
  <c r="A15" i="98"/>
  <c r="A14" i="98"/>
  <c r="G6" i="98"/>
  <c r="G18" i="98" s="1"/>
  <c r="F6" i="98"/>
  <c r="E6" i="98"/>
  <c r="D6" i="98"/>
  <c r="C6" i="98"/>
  <c r="B6" i="98"/>
  <c r="G5" i="98"/>
  <c r="G17" i="98" s="1"/>
  <c r="F5" i="98"/>
  <c r="E5" i="98"/>
  <c r="D5" i="98"/>
  <c r="C5" i="98"/>
  <c r="B5" i="98"/>
  <c r="G4" i="98"/>
  <c r="G16" i="98" s="1"/>
  <c r="F4" i="98"/>
  <c r="E4" i="98"/>
  <c r="D4" i="98"/>
  <c r="C4" i="98"/>
  <c r="B4" i="98"/>
  <c r="G3" i="98"/>
  <c r="G15" i="98" s="1"/>
  <c r="F3" i="98"/>
  <c r="E3" i="98"/>
  <c r="D3" i="98"/>
  <c r="C3" i="98"/>
  <c r="B3" i="98"/>
  <c r="G2" i="98"/>
  <c r="G14" i="98" s="1"/>
  <c r="F2" i="98"/>
  <c r="E2" i="98"/>
  <c r="D2" i="98"/>
  <c r="C2" i="98"/>
  <c r="B2" i="98"/>
  <c r="F18" i="102" l="1"/>
  <c r="C17" i="98"/>
  <c r="D17" i="98"/>
  <c r="E17" i="98"/>
  <c r="B17" i="98"/>
  <c r="F17" i="98"/>
  <c r="B16" i="98"/>
  <c r="C16" i="98"/>
  <c r="F16" i="101"/>
  <c r="F14" i="98"/>
  <c r="C15" i="99"/>
  <c r="E15" i="99"/>
  <c r="F15" i="99"/>
  <c r="F14" i="99"/>
  <c r="B17" i="99"/>
  <c r="C17" i="99"/>
  <c r="F18" i="98"/>
  <c r="F15" i="98"/>
  <c r="D16" i="102"/>
  <c r="F17" i="102"/>
  <c r="B15" i="102"/>
  <c r="C15" i="102"/>
  <c r="D15" i="102"/>
  <c r="E15" i="102"/>
  <c r="F15" i="102"/>
  <c r="F14" i="102"/>
  <c r="D17" i="102"/>
  <c r="F18" i="101"/>
  <c r="E16" i="101"/>
  <c r="D14" i="101"/>
  <c r="F15" i="101"/>
  <c r="D15" i="99"/>
  <c r="F16" i="99"/>
  <c r="D17" i="99"/>
  <c r="E16" i="99"/>
  <c r="F18" i="99"/>
  <c r="B16" i="99"/>
  <c r="E14" i="99"/>
  <c r="C16" i="99"/>
  <c r="E17" i="99"/>
  <c r="B15" i="99"/>
  <c r="D16" i="99"/>
  <c r="D16" i="98"/>
  <c r="E18" i="101"/>
  <c r="C15" i="101"/>
  <c r="D17" i="101"/>
  <c r="B14" i="101"/>
  <c r="D15" i="101"/>
  <c r="B18" i="101"/>
  <c r="C14" i="101"/>
  <c r="E15" i="101"/>
  <c r="E17" i="102"/>
  <c r="D14" i="102"/>
  <c r="B14" i="102"/>
  <c r="B18" i="102"/>
  <c r="G18" i="102"/>
  <c r="C14" i="102"/>
  <c r="C18" i="102"/>
  <c r="B17" i="102"/>
  <c r="E14" i="102"/>
  <c r="C17" i="102"/>
  <c r="E18" i="102"/>
  <c r="B16" i="101"/>
  <c r="D16" i="101"/>
  <c r="F14" i="101"/>
  <c r="C16" i="101"/>
  <c r="B15" i="101"/>
  <c r="F17" i="101"/>
  <c r="G18" i="101"/>
  <c r="G17" i="101"/>
  <c r="B16" i="102"/>
  <c r="E14" i="101"/>
  <c r="C16" i="102"/>
  <c r="E17" i="101"/>
  <c r="B17" i="101"/>
  <c r="C18" i="101"/>
  <c r="E16" i="102"/>
  <c r="C17" i="101"/>
  <c r="D18" i="101"/>
  <c r="F16" i="102"/>
  <c r="F17" i="99"/>
  <c r="C18" i="99"/>
  <c r="G14" i="99"/>
  <c r="B18" i="99"/>
  <c r="E18" i="99"/>
  <c r="D18" i="99"/>
  <c r="B14" i="99"/>
  <c r="C14" i="99"/>
  <c r="D14" i="99"/>
  <c r="B15" i="98"/>
  <c r="C15" i="98"/>
  <c r="E16" i="98"/>
  <c r="D14" i="98"/>
  <c r="C18" i="98"/>
  <c r="D15" i="98"/>
  <c r="F16" i="98"/>
  <c r="B18" i="98"/>
  <c r="E15" i="98"/>
  <c r="B14" i="98"/>
  <c r="C14" i="98"/>
  <c r="E14" i="98"/>
  <c r="D18" i="98"/>
  <c r="E18" i="98"/>
</calcChain>
</file>

<file path=xl/sharedStrings.xml><?xml version="1.0" encoding="utf-8"?>
<sst xmlns="http://schemas.openxmlformats.org/spreadsheetml/2006/main" count="1514" uniqueCount="71">
  <si>
    <t>CP</t>
    <phoneticPr fontId="1" type="noConversion"/>
  </si>
  <si>
    <t>INT</t>
    <phoneticPr fontId="1" type="noConversion"/>
  </si>
  <si>
    <t>EHP</t>
    <phoneticPr fontId="1" type="noConversion"/>
  </si>
  <si>
    <t>DPAS</t>
    <phoneticPr fontId="1" type="noConversion"/>
  </si>
  <si>
    <t>mean</t>
  </si>
  <si>
    <t>std</t>
  </si>
  <si>
    <t>data</t>
  </si>
  <si>
    <t>idx</t>
  </si>
  <si>
    <t>=</t>
  </si>
  <si>
    <t>CPU</t>
    <phoneticPr fontId="1" type="noConversion"/>
  </si>
  <si>
    <t>NIOPS</t>
    <phoneticPr fontId="1" type="noConversion"/>
  </si>
  <si>
    <t>KIOPS</t>
    <phoneticPr fontId="1" type="noConversion"/>
  </si>
  <si>
    <t>IOPS</t>
    <phoneticPr fontId="1" type="noConversion"/>
  </si>
  <si>
    <t>LHP</t>
    <phoneticPr fontId="1" type="noConversion"/>
  </si>
  <si>
    <t>PAS</t>
    <phoneticPr fontId="1" type="noConversion"/>
  </si>
  <si>
    <t>CP %</t>
    <phoneticPr fontId="1" type="noConversion"/>
  </si>
  <si>
    <t xml:space="preserve"> </t>
    <phoneticPr fontId="1" type="noConversion"/>
  </si>
  <si>
    <t>INT</t>
    <phoneticPr fontId="2" type="noConversion"/>
  </si>
  <si>
    <t>F</t>
    <phoneticPr fontId="2" type="noConversion"/>
  </si>
  <si>
    <t>DPAS</t>
    <phoneticPr fontId="2" type="noConversion"/>
  </si>
  <si>
    <t>PAS</t>
    <phoneticPr fontId="2" type="noConversion"/>
  </si>
  <si>
    <t>EHP</t>
    <phoneticPr fontId="2" type="noConversion"/>
  </si>
  <si>
    <t>LHP</t>
    <phoneticPr fontId="2" type="noConversion"/>
  </si>
  <si>
    <t>CP</t>
    <phoneticPr fontId="2" type="noConversion"/>
  </si>
  <si>
    <t>E</t>
    <phoneticPr fontId="2" type="noConversion"/>
  </si>
  <si>
    <t>D</t>
    <phoneticPr fontId="2" type="noConversion"/>
  </si>
  <si>
    <t>C</t>
    <phoneticPr fontId="2" type="noConversion"/>
  </si>
  <si>
    <t>B</t>
    <phoneticPr fontId="2" type="noConversion"/>
  </si>
  <si>
    <t>A</t>
    <phoneticPr fontId="2" type="noConversion"/>
  </si>
  <si>
    <t>CPU</t>
    <phoneticPr fontId="2" type="noConversion"/>
  </si>
  <si>
    <t>--</t>
  </si>
  <si>
    <t>HP</t>
    <phoneticPr fontId="2" type="noConversion"/>
  </si>
  <si>
    <t>Normalized</t>
    <phoneticPr fontId="2" type="noConversion"/>
  </si>
  <si>
    <t>OPS</t>
    <phoneticPr fontId="2" type="noConversion"/>
  </si>
  <si>
    <t>5th</t>
    <phoneticPr fontId="2" type="noConversion"/>
  </si>
  <si>
    <t>4th</t>
    <phoneticPr fontId="2" type="noConversion"/>
  </si>
  <si>
    <t xml:space="preserve">3rd </t>
    <phoneticPr fontId="2" type="noConversion"/>
  </si>
  <si>
    <t>2nd</t>
    <phoneticPr fontId="2" type="noConversion"/>
  </si>
  <si>
    <t>1st</t>
    <phoneticPr fontId="2" type="noConversion"/>
  </si>
  <si>
    <t>Result from cp_res.sh</t>
    <phoneticPr fontId="2" type="noConversion"/>
  </si>
  <si>
    <t>N.cores</t>
    <phoneticPr fontId="2" type="noConversion"/>
  </si>
  <si>
    <t>Ave</t>
    <phoneticPr fontId="2" type="noConversion"/>
  </si>
  <si>
    <t>UPDATE</t>
    <phoneticPr fontId="2" type="noConversion"/>
  </si>
  <si>
    <t>READ</t>
    <phoneticPr fontId="2" type="noConversion"/>
  </si>
  <si>
    <t>SCAN</t>
    <phoneticPr fontId="2" type="noConversion"/>
  </si>
  <si>
    <t>Workload</t>
    <phoneticPr fontId="2" type="noConversion"/>
  </si>
  <si>
    <t>INSERT</t>
    <phoneticPr fontId="2" type="noConversion"/>
  </si>
  <si>
    <t>OPS/SEC</t>
    <phoneticPr fontId="2" type="noConversion"/>
  </si>
  <si>
    <t>cpu dev</t>
    <phoneticPr fontId="2" type="noConversion"/>
  </si>
  <si>
    <t>ops std</t>
    <phoneticPr fontId="2" type="noConversion"/>
  </si>
  <si>
    <t>runtime</t>
    <phoneticPr fontId="2" type="noConversion"/>
  </si>
  <si>
    <t>cpu</t>
    <phoneticPr fontId="2" type="noConversion"/>
  </si>
  <si>
    <t>ops</t>
    <phoneticPr fontId="2" type="noConversion"/>
  </si>
  <si>
    <t>F</t>
  </si>
  <si>
    <t>E</t>
  </si>
  <si>
    <t>D</t>
  </si>
  <si>
    <t>C</t>
  </si>
  <si>
    <t>B</t>
  </si>
  <si>
    <t>A</t>
  </si>
  <si>
    <t>Interrupt</t>
    <phoneticPr fontId="2" type="noConversion"/>
  </si>
  <si>
    <t>PAS overloaded</t>
    <phoneticPr fontId="2" type="noConversion"/>
  </si>
  <si>
    <t>PAS normal</t>
    <phoneticPr fontId="2" type="noConversion"/>
  </si>
  <si>
    <t>Polling</t>
    <phoneticPr fontId="2" type="noConversion"/>
  </si>
  <si>
    <t>P41</t>
  </si>
  <si>
    <t>Total</t>
  </si>
  <si>
    <t>Interrupt</t>
  </si>
  <si>
    <t>PAS overloaded</t>
  </si>
  <si>
    <t>PAS normal</t>
  </si>
  <si>
    <t>Polling</t>
  </si>
  <si>
    <t>Total</t>
    <phoneticPr fontId="2" type="noConversion"/>
  </si>
  <si>
    <t>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</si>
</sst>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;[Red]\(0.0\)"/>
  </numFmts>
  <fonts count="12">
    <font>
      <sz val="12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rgb="FF000000"/>
      <name val="Menlo"/>
      <family val="2"/>
    </font>
    <font>
      <sz val="12"/>
      <color rgb="FF000000"/>
      <name val="Menlo"/>
      <family val="2"/>
    </font>
    <font>
      <sz val="10"/>
      <color theme="1"/>
      <name val="Calibri"/>
      <family val="2"/>
      <charset val="129"/>
      <scheme val="minor"/>
    </font>
    <font>
      <sz val="10"/>
      <color rgb="FF000000"/>
      <name val="Menlo"/>
      <family val="2"/>
    </font>
    <font>
      <sz val="13"/>
      <color rgb="FF000000"/>
      <name val="Menlo"/>
      <family val="2"/>
    </font>
    <font>
      <sz val="14"/>
      <color rgb="FF000000"/>
      <name val="Menlo"/>
      <family val="2"/>
    </font>
    <font>
      <sz val="12"/>
      <color theme="1"/>
      <name val="Calibri"/>
      <family val="2"/>
      <charset val="129"/>
      <scheme val="minor"/>
    </font>
    <font>
      <b/>
      <sz val="12"/>
      <color theme="1"/>
      <name val="Calibri"/>
      <family val="2"/>
      <charset val="129"/>
      <scheme val="minor"/>
    </font>
    <font>
      <sz val="12"/>
      <color rgb="FF000000"/>
      <name val="Calibri"/>
      <family val="2"/>
      <charset val="129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2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7" fillId="2" borderId="0" xfId="0" applyFont="1" applyFill="1">
      <alignment vertical="center"/>
    </xf>
    <xf numFmtId="0" fontId="2" fillId="2" borderId="0" xfId="0" applyFont="1" applyFill="1">
      <alignment vertical="center"/>
    </xf>
    <xf numFmtId="165" fontId="0" fillId="0" borderId="0" xfId="1" applyNumberFormat="1" applyFont="1">
      <alignment vertical="center"/>
    </xf>
    <xf numFmtId="0" fontId="0" fillId="3" borderId="0" xfId="0" applyFill="1">
      <alignment vertical="center"/>
    </xf>
    <xf numFmtId="164" fontId="0" fillId="3" borderId="0" xfId="0" applyNumberFormat="1" applyFill="1">
      <alignment vertical="center"/>
    </xf>
    <xf numFmtId="22" fontId="0" fillId="0" borderId="0" xfId="0" applyNumberFormat="1">
      <alignment vertical="center"/>
    </xf>
    <xf numFmtId="0" fontId="2" fillId="3" borderId="0" xfId="0" applyFont="1" applyFill="1">
      <alignment vertical="center"/>
    </xf>
    <xf numFmtId="0" fontId="9" fillId="0" borderId="0" xfId="0" applyFont="1">
      <alignment vertical="center"/>
    </xf>
    <xf numFmtId="2" fontId="0" fillId="3" borderId="0" xfId="0" applyNumberFormat="1" applyFill="1">
      <alignment vertical="center"/>
    </xf>
    <xf numFmtId="0" fontId="10" fillId="0" borderId="0" xfId="0" applyFont="1">
      <alignment vertical="center"/>
    </xf>
    <xf numFmtId="0" fontId="0" fillId="0" borderId="0" xfId="0" applyAlignment="1">
      <alignment horizontal="center" vertical="center"/>
    </xf>
    <xf numFmtId="0" fontId="11" fillId="3" borderId="0" xfId="0" applyFont="1" applyFill="1">
      <alignment vertical="center"/>
    </xf>
    <xf numFmtId="0" fontId="5" fillId="0" borderId="0" xfId="0" applyFont="1" applyFill="1">
      <alignment vertical="center"/>
    </xf>
  </cellXfs>
  <cellStyles count="2">
    <cellStyle name="Normal" xfId="0" builtinId="0"/>
    <cellStyle name="Percent 2" xfId="1" xr:uid="{09589900-EF3E-AF45-8DA3-D0E7EE568D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(nvme1n1)'!$B$2:$B$7</c:f>
              <c:numCache>
                <c:formatCode>General</c:formatCode>
                <c:ptCount val="6"/>
                <c:pt idx="0">
                  <c:v>169.8</c:v>
                </c:pt>
                <c:pt idx="1">
                  <c:v>329.6</c:v>
                </c:pt>
                <c:pt idx="2">
                  <c:v>642</c:v>
                </c:pt>
                <c:pt idx="3">
                  <c:v>850.2</c:v>
                </c:pt>
                <c:pt idx="4">
                  <c:v>852.4</c:v>
                </c:pt>
                <c:pt idx="5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AA-A746-95FB-438520FA003B}"/>
            </c:ext>
          </c:extLst>
        </c:ser>
        <c:ser>
          <c:idx val="1"/>
          <c:order val="1"/>
          <c:tx>
            <c:strRef>
              <c:f>'4KRR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(nvme1n1)'!$C$2:$C$7</c:f>
              <c:numCache>
                <c:formatCode>General</c:formatCode>
                <c:ptCount val="6"/>
                <c:pt idx="0">
                  <c:v>160.4</c:v>
                </c:pt>
                <c:pt idx="1">
                  <c:v>311.8</c:v>
                </c:pt>
                <c:pt idx="2">
                  <c:v>609.79999999999995</c:v>
                </c:pt>
                <c:pt idx="3">
                  <c:v>850.8</c:v>
                </c:pt>
                <c:pt idx="4">
                  <c:v>852.6</c:v>
                </c:pt>
                <c:pt idx="5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AA-A746-95FB-438520FA003B}"/>
            </c:ext>
          </c:extLst>
        </c:ser>
        <c:ser>
          <c:idx val="2"/>
          <c:order val="2"/>
          <c:tx>
            <c:strRef>
              <c:f>'4KRR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(nvme1n1)'!$D$2:$D$7</c:f>
              <c:numCache>
                <c:formatCode>General</c:formatCode>
                <c:ptCount val="6"/>
                <c:pt idx="0">
                  <c:v>160.4</c:v>
                </c:pt>
                <c:pt idx="1">
                  <c:v>311.60000000000002</c:v>
                </c:pt>
                <c:pt idx="2">
                  <c:v>608</c:v>
                </c:pt>
                <c:pt idx="3">
                  <c:v>850.8</c:v>
                </c:pt>
                <c:pt idx="4">
                  <c:v>852.2</c:v>
                </c:pt>
                <c:pt idx="5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AA-A746-95FB-438520FA003B}"/>
            </c:ext>
          </c:extLst>
        </c:ser>
        <c:ser>
          <c:idx val="3"/>
          <c:order val="3"/>
          <c:tx>
            <c:strRef>
              <c:f>'4KRR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(nvme1n1)'!$E$2:$E$7</c:f>
              <c:numCache>
                <c:formatCode>General</c:formatCode>
                <c:ptCount val="6"/>
                <c:pt idx="0">
                  <c:v>160.6</c:v>
                </c:pt>
                <c:pt idx="1">
                  <c:v>312</c:v>
                </c:pt>
                <c:pt idx="2">
                  <c:v>608</c:v>
                </c:pt>
                <c:pt idx="3">
                  <c:v>850.2</c:v>
                </c:pt>
                <c:pt idx="4">
                  <c:v>852.2</c:v>
                </c:pt>
                <c:pt idx="5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AA-A746-95FB-438520FA003B}"/>
            </c:ext>
          </c:extLst>
        </c:ser>
        <c:ser>
          <c:idx val="4"/>
          <c:order val="4"/>
          <c:tx>
            <c:strRef>
              <c:f>'4KRR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(nvme1n1)'!$F$2:$F$7</c:f>
              <c:numCache>
                <c:formatCode>General</c:formatCode>
                <c:ptCount val="6"/>
                <c:pt idx="0">
                  <c:v>168.6</c:v>
                </c:pt>
                <c:pt idx="1">
                  <c:v>326</c:v>
                </c:pt>
                <c:pt idx="2">
                  <c:v>630.4</c:v>
                </c:pt>
                <c:pt idx="3">
                  <c:v>850.2</c:v>
                </c:pt>
                <c:pt idx="4">
                  <c:v>852.6</c:v>
                </c:pt>
                <c:pt idx="5">
                  <c:v>855.8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7AA-A746-95FB-438520FA003B}"/>
            </c:ext>
          </c:extLst>
        </c:ser>
        <c:ser>
          <c:idx val="5"/>
          <c:order val="5"/>
          <c:tx>
            <c:strRef>
              <c:f>'4KRR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(nvme1n1)'!$G$2:$G$7</c:f>
              <c:numCache>
                <c:formatCode>General</c:formatCode>
                <c:ptCount val="6"/>
                <c:pt idx="0">
                  <c:v>131.19999999999999</c:v>
                </c:pt>
                <c:pt idx="1">
                  <c:v>254.6</c:v>
                </c:pt>
                <c:pt idx="2">
                  <c:v>494.6</c:v>
                </c:pt>
                <c:pt idx="3">
                  <c:v>842</c:v>
                </c:pt>
                <c:pt idx="4">
                  <c:v>848.6</c:v>
                </c:pt>
                <c:pt idx="5">
                  <c:v>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7AA-A746-95FB-438520FA0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(nvme1n1)'!$B$14:$B$19</c:f>
              <c:numCache>
                <c:formatCode>0.0</c:formatCode>
                <c:ptCount val="6"/>
                <c:pt idx="0">
                  <c:v>129.42073170731709</c:v>
                </c:pt>
                <c:pt idx="1">
                  <c:v>129.45797329143755</c:v>
                </c:pt>
                <c:pt idx="2">
                  <c:v>129.80186008896078</c:v>
                </c:pt>
                <c:pt idx="3">
                  <c:v>100.97387173396675</c:v>
                </c:pt>
                <c:pt idx="4">
                  <c:v>100.44779637049257</c:v>
                </c:pt>
                <c:pt idx="5">
                  <c:v>100.5868544600939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B-7841-B012-DBAD3192CFF2}"/>
            </c:ext>
          </c:extLst>
        </c:ser>
        <c:ser>
          <c:idx val="1"/>
          <c:order val="1"/>
          <c:tx>
            <c:strRef>
              <c:f>'4KRR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(nvme1n1)'!$C$14:$C$19</c:f>
              <c:numCache>
                <c:formatCode>0.0</c:formatCode>
                <c:ptCount val="6"/>
                <c:pt idx="0">
                  <c:v>122.25609756097562</c:v>
                </c:pt>
                <c:pt idx="1">
                  <c:v>122.46661429693637</c:v>
                </c:pt>
                <c:pt idx="2">
                  <c:v>123.29154872624342</c:v>
                </c:pt>
                <c:pt idx="3">
                  <c:v>101.04513064133016</c:v>
                </c:pt>
                <c:pt idx="4">
                  <c:v>100.47136460051851</c:v>
                </c:pt>
                <c:pt idx="5">
                  <c:v>100.5868544600939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B-7841-B012-DBAD3192CFF2}"/>
            </c:ext>
          </c:extLst>
        </c:ser>
        <c:ser>
          <c:idx val="2"/>
          <c:order val="2"/>
          <c:tx>
            <c:strRef>
              <c:f>'4KRR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(nvme1n1)'!$D$14:$D$19</c:f>
              <c:numCache>
                <c:formatCode>0.0</c:formatCode>
                <c:ptCount val="6"/>
                <c:pt idx="0">
                  <c:v>122.25609756097562</c:v>
                </c:pt>
                <c:pt idx="1">
                  <c:v>122.38805970149255</c:v>
                </c:pt>
                <c:pt idx="2">
                  <c:v>122.92761827739587</c:v>
                </c:pt>
                <c:pt idx="3">
                  <c:v>101.04513064133016</c:v>
                </c:pt>
                <c:pt idx="4">
                  <c:v>100.42422814046665</c:v>
                </c:pt>
                <c:pt idx="5">
                  <c:v>100.5868544600939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B-7841-B012-DBAD3192CFF2}"/>
            </c:ext>
          </c:extLst>
        </c:ser>
        <c:ser>
          <c:idx val="3"/>
          <c:order val="3"/>
          <c:tx>
            <c:strRef>
              <c:f>'4KRR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(nvme1n1)'!$E$14:$E$19</c:f>
              <c:numCache>
                <c:formatCode>0.0</c:formatCode>
                <c:ptCount val="6"/>
                <c:pt idx="0">
                  <c:v>122.40853658536585</c:v>
                </c:pt>
                <c:pt idx="1">
                  <c:v>122.5451688923802</c:v>
                </c:pt>
                <c:pt idx="2">
                  <c:v>122.92761827739587</c:v>
                </c:pt>
                <c:pt idx="3">
                  <c:v>100.97387173396675</c:v>
                </c:pt>
                <c:pt idx="4">
                  <c:v>100.42422814046665</c:v>
                </c:pt>
                <c:pt idx="5">
                  <c:v>100.5868544600939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2B-7841-B012-DBAD3192CFF2}"/>
            </c:ext>
          </c:extLst>
        </c:ser>
        <c:ser>
          <c:idx val="4"/>
          <c:order val="4"/>
          <c:tx>
            <c:strRef>
              <c:f>'4KRR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(nvme1n1)'!$F$14:$F$19</c:f>
              <c:numCache>
                <c:formatCode>0.0</c:formatCode>
                <c:ptCount val="6"/>
                <c:pt idx="0">
                  <c:v>128.5060975609756</c:v>
                </c:pt>
                <c:pt idx="1">
                  <c:v>128.04399057344855</c:v>
                </c:pt>
                <c:pt idx="2">
                  <c:v>127.45653052972096</c:v>
                </c:pt>
                <c:pt idx="3">
                  <c:v>100.97387173396675</c:v>
                </c:pt>
                <c:pt idx="4">
                  <c:v>100.47136460051851</c:v>
                </c:pt>
                <c:pt idx="5">
                  <c:v>100.44600938967136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2B-7841-B012-DBAD3192CFF2}"/>
            </c:ext>
          </c:extLst>
        </c:ser>
        <c:ser>
          <c:idx val="5"/>
          <c:order val="5"/>
          <c:tx>
            <c:strRef>
              <c:f>'4KRR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(nvme1n1)'!$G$14:$G$19</c:f>
              <c:numCache>
                <c:formatCode>0.0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2B-7841-B012-DBAD3192CF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3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(nvme1n1)'!$B$26:$B$31</c:f>
              <c:numCache>
                <c:formatCode>General</c:formatCode>
                <c:ptCount val="6"/>
                <c:pt idx="0">
                  <c:v>99.96</c:v>
                </c:pt>
                <c:pt idx="1">
                  <c:v>99.97</c:v>
                </c:pt>
                <c:pt idx="2">
                  <c:v>99.97</c:v>
                </c:pt>
                <c:pt idx="3">
                  <c:v>99.98</c:v>
                </c:pt>
                <c:pt idx="4">
                  <c:v>99.98</c:v>
                </c:pt>
                <c:pt idx="5">
                  <c:v>99.96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B-544B-A3F4-CA9F7BB4F913}"/>
            </c:ext>
          </c:extLst>
        </c:ser>
        <c:ser>
          <c:idx val="1"/>
          <c:order val="1"/>
          <c:tx>
            <c:strRef>
              <c:f>'4KRR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(nvme1n1)'!$C$26:$C$31</c:f>
              <c:numCache>
                <c:formatCode>General</c:formatCode>
                <c:ptCount val="6"/>
                <c:pt idx="0">
                  <c:v>60.99</c:v>
                </c:pt>
                <c:pt idx="1">
                  <c:v>60.67</c:v>
                </c:pt>
                <c:pt idx="2">
                  <c:v>60.52</c:v>
                </c:pt>
                <c:pt idx="3">
                  <c:v>57.54</c:v>
                </c:pt>
                <c:pt idx="4">
                  <c:v>54.45</c:v>
                </c:pt>
                <c:pt idx="5">
                  <c:v>54.18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4B-544B-A3F4-CA9F7BB4F913}"/>
            </c:ext>
          </c:extLst>
        </c:ser>
        <c:ser>
          <c:idx val="2"/>
          <c:order val="2"/>
          <c:tx>
            <c:strRef>
              <c:f>'4KRR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(nvme1n1)'!$D$26:$D$31</c:f>
              <c:numCache>
                <c:formatCode>General</c:formatCode>
                <c:ptCount val="6"/>
                <c:pt idx="0">
                  <c:v>81.239999999999995</c:v>
                </c:pt>
                <c:pt idx="1">
                  <c:v>81.180000000000007</c:v>
                </c:pt>
                <c:pt idx="2">
                  <c:v>81.56</c:v>
                </c:pt>
                <c:pt idx="3">
                  <c:v>86.78</c:v>
                </c:pt>
                <c:pt idx="4">
                  <c:v>54.28</c:v>
                </c:pt>
                <c:pt idx="5">
                  <c:v>37.770000000000003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4B-544B-A3F4-CA9F7BB4F913}"/>
            </c:ext>
          </c:extLst>
        </c:ser>
        <c:ser>
          <c:idx val="3"/>
          <c:order val="3"/>
          <c:tx>
            <c:strRef>
              <c:f>'4KRR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(nvme1n1)'!$E$26:$E$31</c:f>
              <c:numCache>
                <c:formatCode>General</c:formatCode>
                <c:ptCount val="6"/>
                <c:pt idx="0">
                  <c:v>55.15</c:v>
                </c:pt>
                <c:pt idx="1">
                  <c:v>56.13</c:v>
                </c:pt>
                <c:pt idx="2">
                  <c:v>56.31</c:v>
                </c:pt>
                <c:pt idx="3">
                  <c:v>42.28</c:v>
                </c:pt>
                <c:pt idx="4">
                  <c:v>26.01</c:v>
                </c:pt>
                <c:pt idx="5">
                  <c:v>21.24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4B-544B-A3F4-CA9F7BB4F913}"/>
            </c:ext>
          </c:extLst>
        </c:ser>
        <c:ser>
          <c:idx val="4"/>
          <c:order val="4"/>
          <c:tx>
            <c:strRef>
              <c:f>'4KRR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(nvme1n1)'!$F$26:$F$31</c:f>
              <c:numCache>
                <c:formatCode>General</c:formatCode>
                <c:ptCount val="6"/>
                <c:pt idx="0">
                  <c:v>95.74</c:v>
                </c:pt>
                <c:pt idx="1">
                  <c:v>95.87</c:v>
                </c:pt>
                <c:pt idx="2">
                  <c:v>95.93</c:v>
                </c:pt>
                <c:pt idx="3">
                  <c:v>94.78</c:v>
                </c:pt>
                <c:pt idx="4">
                  <c:v>93.23</c:v>
                </c:pt>
                <c:pt idx="5">
                  <c:v>73.58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34B-544B-A3F4-CA9F7BB4F913}"/>
            </c:ext>
          </c:extLst>
        </c:ser>
        <c:ser>
          <c:idx val="5"/>
          <c:order val="5"/>
          <c:tx>
            <c:strRef>
              <c:f>'4KRR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Optane (nvme1n1)'!$A$26:$A$31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Optane (nvme1n1)'!$G$26:$G$31</c:f>
              <c:numCache>
                <c:formatCode>General</c:formatCode>
                <c:ptCount val="6"/>
                <c:pt idx="0">
                  <c:v>36.159999999999997</c:v>
                </c:pt>
                <c:pt idx="1">
                  <c:v>36.229999999999997</c:v>
                </c:pt>
                <c:pt idx="2">
                  <c:v>36.020000000000003</c:v>
                </c:pt>
                <c:pt idx="3">
                  <c:v>32.5</c:v>
                </c:pt>
                <c:pt idx="4">
                  <c:v>19.43</c:v>
                </c:pt>
                <c:pt idx="5">
                  <c:v>16.54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34B-544B-A3F4-CA9F7BB4F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(nvme2n1)'!$B$2:$B$7</c:f>
              <c:numCache>
                <c:formatCode>General</c:formatCode>
                <c:ptCount val="6"/>
                <c:pt idx="0">
                  <c:v>65.36</c:v>
                </c:pt>
                <c:pt idx="1">
                  <c:v>130</c:v>
                </c:pt>
                <c:pt idx="2">
                  <c:v>240.6</c:v>
                </c:pt>
                <c:pt idx="3">
                  <c:v>409</c:v>
                </c:pt>
                <c:pt idx="4">
                  <c:v>590.4</c:v>
                </c:pt>
                <c:pt idx="5">
                  <c:v>639.79999999999995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09-3E43-BCE6-E2F4FDD58E9D}"/>
            </c:ext>
          </c:extLst>
        </c:ser>
        <c:ser>
          <c:idx val="1"/>
          <c:order val="1"/>
          <c:tx>
            <c:strRef>
              <c:f>'4KRR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(nvme2n1)'!$C$2:$C$7</c:f>
              <c:numCache>
                <c:formatCode>General</c:formatCode>
                <c:ptCount val="6"/>
                <c:pt idx="0">
                  <c:v>63.38</c:v>
                </c:pt>
                <c:pt idx="1">
                  <c:v>126.8</c:v>
                </c:pt>
                <c:pt idx="2">
                  <c:v>235.6</c:v>
                </c:pt>
                <c:pt idx="3">
                  <c:v>403</c:v>
                </c:pt>
                <c:pt idx="4">
                  <c:v>586.4</c:v>
                </c:pt>
                <c:pt idx="5">
                  <c:v>634.4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09-3E43-BCE6-E2F4FDD58E9D}"/>
            </c:ext>
          </c:extLst>
        </c:ser>
        <c:ser>
          <c:idx val="2"/>
          <c:order val="2"/>
          <c:tx>
            <c:strRef>
              <c:f>'4KRR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(nvme2n1)'!$D$2:$D$7</c:f>
              <c:numCache>
                <c:formatCode>General</c:formatCode>
                <c:ptCount val="6"/>
                <c:pt idx="0">
                  <c:v>63.68</c:v>
                </c:pt>
                <c:pt idx="1">
                  <c:v>126.6</c:v>
                </c:pt>
                <c:pt idx="2">
                  <c:v>235.4</c:v>
                </c:pt>
                <c:pt idx="3">
                  <c:v>402.8</c:v>
                </c:pt>
                <c:pt idx="4">
                  <c:v>586.6</c:v>
                </c:pt>
                <c:pt idx="5">
                  <c:v>637.4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09-3E43-BCE6-E2F4FDD58E9D}"/>
            </c:ext>
          </c:extLst>
        </c:ser>
        <c:ser>
          <c:idx val="3"/>
          <c:order val="3"/>
          <c:tx>
            <c:strRef>
              <c:f>'4KRR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(nvme2n1)'!$E$2:$E$7</c:f>
              <c:numCache>
                <c:formatCode>General</c:formatCode>
                <c:ptCount val="6"/>
                <c:pt idx="0">
                  <c:v>63.52</c:v>
                </c:pt>
                <c:pt idx="1">
                  <c:v>126.4</c:v>
                </c:pt>
                <c:pt idx="2">
                  <c:v>235</c:v>
                </c:pt>
                <c:pt idx="3">
                  <c:v>400</c:v>
                </c:pt>
                <c:pt idx="4">
                  <c:v>580</c:v>
                </c:pt>
                <c:pt idx="5">
                  <c:v>629.6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C09-3E43-BCE6-E2F4FDD58E9D}"/>
            </c:ext>
          </c:extLst>
        </c:ser>
        <c:ser>
          <c:idx val="4"/>
          <c:order val="4"/>
          <c:tx>
            <c:strRef>
              <c:f>'4KRR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(nvme2n1)'!$F$2:$F$7</c:f>
              <c:numCache>
                <c:formatCode>General</c:formatCode>
                <c:ptCount val="6"/>
                <c:pt idx="0">
                  <c:v>65.16</c:v>
                </c:pt>
                <c:pt idx="1">
                  <c:v>129.19999999999999</c:v>
                </c:pt>
                <c:pt idx="2">
                  <c:v>240</c:v>
                </c:pt>
                <c:pt idx="3">
                  <c:v>407.4</c:v>
                </c:pt>
                <c:pt idx="4">
                  <c:v>589.4</c:v>
                </c:pt>
                <c:pt idx="5">
                  <c:v>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C09-3E43-BCE6-E2F4FDD58E9D}"/>
            </c:ext>
          </c:extLst>
        </c:ser>
        <c:ser>
          <c:idx val="5"/>
          <c:order val="5"/>
          <c:tx>
            <c:strRef>
              <c:f>'4KRR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(nvme2n1)'!$G$2:$G$7</c:f>
              <c:numCache>
                <c:formatCode>General</c:formatCode>
                <c:ptCount val="6"/>
                <c:pt idx="0">
                  <c:v>57.54</c:v>
                </c:pt>
                <c:pt idx="1">
                  <c:v>114</c:v>
                </c:pt>
                <c:pt idx="2">
                  <c:v>215.6</c:v>
                </c:pt>
                <c:pt idx="3">
                  <c:v>378</c:v>
                </c:pt>
                <c:pt idx="4">
                  <c:v>569.79999999999995</c:v>
                </c:pt>
                <c:pt idx="5">
                  <c:v>623.79999999999995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C09-3E43-BCE6-E2F4FDD58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(nvme2n1)'!$B$14:$B$19</c:f>
              <c:numCache>
                <c:formatCode>0.0</c:formatCode>
                <c:ptCount val="6"/>
                <c:pt idx="0">
                  <c:v>113.59054570733403</c:v>
                </c:pt>
                <c:pt idx="1">
                  <c:v>114.03508771929825</c:v>
                </c:pt>
                <c:pt idx="2">
                  <c:v>111.59554730983304</c:v>
                </c:pt>
                <c:pt idx="3">
                  <c:v>108.2010582010582</c:v>
                </c:pt>
                <c:pt idx="4">
                  <c:v>103.61530361530362</c:v>
                </c:pt>
                <c:pt idx="5">
                  <c:v>102.56492465533825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61-4446-87E3-1C0DACD5E57F}"/>
            </c:ext>
          </c:extLst>
        </c:ser>
        <c:ser>
          <c:idx val="1"/>
          <c:order val="1"/>
          <c:tx>
            <c:strRef>
              <c:f>'4KRR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(nvme2n1)'!$C$14:$C$19</c:f>
              <c:numCache>
                <c:formatCode>0.0</c:formatCode>
                <c:ptCount val="6"/>
                <c:pt idx="0">
                  <c:v>110.14946124435177</c:v>
                </c:pt>
                <c:pt idx="1">
                  <c:v>111.22807017543859</c:v>
                </c:pt>
                <c:pt idx="2">
                  <c:v>109.27643784786642</c:v>
                </c:pt>
                <c:pt idx="3">
                  <c:v>106.61375661375661</c:v>
                </c:pt>
                <c:pt idx="4">
                  <c:v>102.91330291330291</c:v>
                </c:pt>
                <c:pt idx="5">
                  <c:v>101.6992625841616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61-4446-87E3-1C0DACD5E57F}"/>
            </c:ext>
          </c:extLst>
        </c:ser>
        <c:ser>
          <c:idx val="2"/>
          <c:order val="2"/>
          <c:tx>
            <c:strRef>
              <c:f>'4KRR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(nvme2n1)'!$D$14:$D$19</c:f>
              <c:numCache>
                <c:formatCode>0.0</c:formatCode>
                <c:ptCount val="6"/>
                <c:pt idx="0">
                  <c:v>110.67083767813695</c:v>
                </c:pt>
                <c:pt idx="1">
                  <c:v>111.05263157894736</c:v>
                </c:pt>
                <c:pt idx="2">
                  <c:v>109.18367346938776</c:v>
                </c:pt>
                <c:pt idx="3">
                  <c:v>106.56084656084657</c:v>
                </c:pt>
                <c:pt idx="4">
                  <c:v>102.94840294840296</c:v>
                </c:pt>
                <c:pt idx="5">
                  <c:v>102.18018595703751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061-4446-87E3-1C0DACD5E57F}"/>
            </c:ext>
          </c:extLst>
        </c:ser>
        <c:ser>
          <c:idx val="3"/>
          <c:order val="3"/>
          <c:tx>
            <c:strRef>
              <c:f>'4KRR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(nvme2n1)'!$E$14:$E$19</c:f>
              <c:numCache>
                <c:formatCode>0.0</c:formatCode>
                <c:ptCount val="6"/>
                <c:pt idx="0">
                  <c:v>110.39277024678485</c:v>
                </c:pt>
                <c:pt idx="1">
                  <c:v>110.87719298245615</c:v>
                </c:pt>
                <c:pt idx="2">
                  <c:v>108.99814471243043</c:v>
                </c:pt>
                <c:pt idx="3">
                  <c:v>105.82010582010581</c:v>
                </c:pt>
                <c:pt idx="4">
                  <c:v>101.7901017901018</c:v>
                </c:pt>
                <c:pt idx="5">
                  <c:v>100.92978518756013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061-4446-87E3-1C0DACD5E57F}"/>
            </c:ext>
          </c:extLst>
        </c:ser>
        <c:ser>
          <c:idx val="4"/>
          <c:order val="4"/>
          <c:tx>
            <c:strRef>
              <c:f>'4KRR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(nvme2n1)'!$F$14:$F$19</c:f>
              <c:numCache>
                <c:formatCode>0.0</c:formatCode>
                <c:ptCount val="6"/>
                <c:pt idx="0">
                  <c:v>113.24296141814389</c:v>
                </c:pt>
                <c:pt idx="1">
                  <c:v>113.33333333333333</c:v>
                </c:pt>
                <c:pt idx="2">
                  <c:v>111.31725417439704</c:v>
                </c:pt>
                <c:pt idx="3">
                  <c:v>107.77777777777777</c:v>
                </c:pt>
                <c:pt idx="4">
                  <c:v>103.43980343980344</c:v>
                </c:pt>
                <c:pt idx="5">
                  <c:v>102.43667842257133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61-4446-87E3-1C0DACD5E57F}"/>
            </c:ext>
          </c:extLst>
        </c:ser>
        <c:ser>
          <c:idx val="5"/>
          <c:order val="5"/>
          <c:tx>
            <c:strRef>
              <c:f>'4KRR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(nvme2n1)'!$G$14:$G$19</c:f>
              <c:numCache>
                <c:formatCode>0.0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61-4446-87E3-1C0DACD5E5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15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(nvme2n1)'!$B$26:$B$31</c:f>
              <c:numCache>
                <c:formatCode>General</c:formatCode>
                <c:ptCount val="6"/>
                <c:pt idx="0">
                  <c:v>99.91</c:v>
                </c:pt>
                <c:pt idx="1">
                  <c:v>99.94</c:v>
                </c:pt>
                <c:pt idx="2">
                  <c:v>99.93</c:v>
                </c:pt>
                <c:pt idx="3">
                  <c:v>99.94</c:v>
                </c:pt>
                <c:pt idx="4">
                  <c:v>99.93</c:v>
                </c:pt>
                <c:pt idx="5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4-6247-8D21-9A94D77F2428}"/>
            </c:ext>
          </c:extLst>
        </c:ser>
        <c:ser>
          <c:idx val="1"/>
          <c:order val="1"/>
          <c:tx>
            <c:strRef>
              <c:f>'4KRR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(nvme2n1)'!$C$26:$C$31</c:f>
              <c:numCache>
                <c:formatCode>General</c:formatCode>
                <c:ptCount val="6"/>
                <c:pt idx="0">
                  <c:v>55.46</c:v>
                </c:pt>
                <c:pt idx="1">
                  <c:v>55.19</c:v>
                </c:pt>
                <c:pt idx="2">
                  <c:v>54.74</c:v>
                </c:pt>
                <c:pt idx="3">
                  <c:v>54.13</c:v>
                </c:pt>
                <c:pt idx="4">
                  <c:v>53.05</c:v>
                </c:pt>
                <c:pt idx="5">
                  <c:v>52.63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4-6247-8D21-9A94D77F2428}"/>
            </c:ext>
          </c:extLst>
        </c:ser>
        <c:ser>
          <c:idx val="2"/>
          <c:order val="2"/>
          <c:tx>
            <c:strRef>
              <c:f>'4KRR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(nvme2n1)'!$D$26:$D$31</c:f>
              <c:numCache>
                <c:formatCode>General</c:formatCode>
                <c:ptCount val="6"/>
                <c:pt idx="0">
                  <c:v>40.770000000000003</c:v>
                </c:pt>
                <c:pt idx="1">
                  <c:v>41.55</c:v>
                </c:pt>
                <c:pt idx="2">
                  <c:v>45.31</c:v>
                </c:pt>
                <c:pt idx="3">
                  <c:v>52.62</c:v>
                </c:pt>
                <c:pt idx="4">
                  <c:v>64.44</c:v>
                </c:pt>
                <c:pt idx="5">
                  <c:v>68.52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D4-6247-8D21-9A94D77F2428}"/>
            </c:ext>
          </c:extLst>
        </c:ser>
        <c:ser>
          <c:idx val="3"/>
          <c:order val="3"/>
          <c:tx>
            <c:strRef>
              <c:f>'4KRR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(nvme2n1)'!$E$26:$E$31</c:f>
              <c:numCache>
                <c:formatCode>General</c:formatCode>
                <c:ptCount val="6"/>
                <c:pt idx="0">
                  <c:v>28.78</c:v>
                </c:pt>
                <c:pt idx="1">
                  <c:v>29.6</c:v>
                </c:pt>
                <c:pt idx="2">
                  <c:v>33.130000000000003</c:v>
                </c:pt>
                <c:pt idx="3">
                  <c:v>38.409999999999997</c:v>
                </c:pt>
                <c:pt idx="4">
                  <c:v>43.22</c:v>
                </c:pt>
                <c:pt idx="5">
                  <c:v>44.25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D4-6247-8D21-9A94D77F2428}"/>
            </c:ext>
          </c:extLst>
        </c:ser>
        <c:ser>
          <c:idx val="4"/>
          <c:order val="4"/>
          <c:tx>
            <c:strRef>
              <c:f>'4KRR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(nvme2n1)'!$F$26:$F$31</c:f>
              <c:numCache>
                <c:formatCode>General</c:formatCode>
                <c:ptCount val="6"/>
                <c:pt idx="0">
                  <c:v>93.34</c:v>
                </c:pt>
                <c:pt idx="1">
                  <c:v>93.41</c:v>
                </c:pt>
                <c:pt idx="2">
                  <c:v>93.77</c:v>
                </c:pt>
                <c:pt idx="3">
                  <c:v>94.3</c:v>
                </c:pt>
                <c:pt idx="4">
                  <c:v>94.73</c:v>
                </c:pt>
                <c:pt idx="5">
                  <c:v>94.6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D4-6247-8D21-9A94D77F2428}"/>
            </c:ext>
          </c:extLst>
        </c:ser>
        <c:ser>
          <c:idx val="5"/>
          <c:order val="5"/>
          <c:tx>
            <c:strRef>
              <c:f>'4KRR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ZSSD (nvme2n1)'!$A$26:$A$31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ZSSD (nvme2n1)'!$G$26:$G$31</c:f>
              <c:numCache>
                <c:formatCode>General</c:formatCode>
                <c:ptCount val="6"/>
                <c:pt idx="0">
                  <c:v>20.48</c:v>
                </c:pt>
                <c:pt idx="1">
                  <c:v>20.329999999999998</c:v>
                </c:pt>
                <c:pt idx="2">
                  <c:v>19.23</c:v>
                </c:pt>
                <c:pt idx="3">
                  <c:v>17.11</c:v>
                </c:pt>
                <c:pt idx="4">
                  <c:v>12.86</c:v>
                </c:pt>
                <c:pt idx="5">
                  <c:v>11.34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4-6247-8D21-9A94D77F2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(nvme0n1)'!$B$2:$B$7</c:f>
              <c:numCache>
                <c:formatCode>General</c:formatCode>
                <c:ptCount val="6"/>
                <c:pt idx="0">
                  <c:v>20.7</c:v>
                </c:pt>
                <c:pt idx="1">
                  <c:v>43.2</c:v>
                </c:pt>
                <c:pt idx="2">
                  <c:v>90.02</c:v>
                </c:pt>
                <c:pt idx="3">
                  <c:v>178.4</c:v>
                </c:pt>
                <c:pt idx="4">
                  <c:v>343</c:v>
                </c:pt>
                <c:pt idx="5">
                  <c:v>417.6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6F-7244-A1D4-598EED096A0C}"/>
            </c:ext>
          </c:extLst>
        </c:ser>
        <c:ser>
          <c:idx val="1"/>
          <c:order val="1"/>
          <c:tx>
            <c:strRef>
              <c:f>'4KRR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(nvme0n1)'!$C$2:$C$7</c:f>
              <c:numCache>
                <c:formatCode>General</c:formatCode>
                <c:ptCount val="6"/>
                <c:pt idx="0">
                  <c:v>20.5</c:v>
                </c:pt>
                <c:pt idx="1">
                  <c:v>42.88</c:v>
                </c:pt>
                <c:pt idx="2">
                  <c:v>89.22</c:v>
                </c:pt>
                <c:pt idx="3">
                  <c:v>176.8</c:v>
                </c:pt>
                <c:pt idx="4">
                  <c:v>341</c:v>
                </c:pt>
                <c:pt idx="5">
                  <c:v>415.6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6F-7244-A1D4-598EED096A0C}"/>
            </c:ext>
          </c:extLst>
        </c:ser>
        <c:ser>
          <c:idx val="2"/>
          <c:order val="2"/>
          <c:tx>
            <c:strRef>
              <c:f>'4KRR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(nvme0n1)'!$D$2:$D$7</c:f>
              <c:numCache>
                <c:formatCode>General</c:formatCode>
                <c:ptCount val="6"/>
                <c:pt idx="0">
                  <c:v>20.5</c:v>
                </c:pt>
                <c:pt idx="1">
                  <c:v>42.78</c:v>
                </c:pt>
                <c:pt idx="2">
                  <c:v>89.26</c:v>
                </c:pt>
                <c:pt idx="3">
                  <c:v>176.4</c:v>
                </c:pt>
                <c:pt idx="4">
                  <c:v>340.2</c:v>
                </c:pt>
                <c:pt idx="5">
                  <c:v>415.4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6F-7244-A1D4-598EED096A0C}"/>
            </c:ext>
          </c:extLst>
        </c:ser>
        <c:ser>
          <c:idx val="3"/>
          <c:order val="3"/>
          <c:tx>
            <c:strRef>
              <c:f>'4KRR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(nvme0n1)'!$E$2:$E$7</c:f>
              <c:numCache>
                <c:formatCode>General</c:formatCode>
                <c:ptCount val="6"/>
                <c:pt idx="0">
                  <c:v>20.5</c:v>
                </c:pt>
                <c:pt idx="1">
                  <c:v>42.8</c:v>
                </c:pt>
                <c:pt idx="2">
                  <c:v>89.18</c:v>
                </c:pt>
                <c:pt idx="3">
                  <c:v>176.8</c:v>
                </c:pt>
                <c:pt idx="4">
                  <c:v>339.6</c:v>
                </c:pt>
                <c:pt idx="5">
                  <c:v>414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6F-7244-A1D4-598EED096A0C}"/>
            </c:ext>
          </c:extLst>
        </c:ser>
        <c:ser>
          <c:idx val="4"/>
          <c:order val="4"/>
          <c:tx>
            <c:strRef>
              <c:f>'4KRR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(nvme0n1)'!$F$2:$F$7</c:f>
              <c:numCache>
                <c:formatCode>General</c:formatCode>
                <c:ptCount val="6"/>
                <c:pt idx="0">
                  <c:v>20.7</c:v>
                </c:pt>
                <c:pt idx="1">
                  <c:v>43.26</c:v>
                </c:pt>
                <c:pt idx="2">
                  <c:v>89.86</c:v>
                </c:pt>
                <c:pt idx="3">
                  <c:v>178.2</c:v>
                </c:pt>
                <c:pt idx="4">
                  <c:v>342.6</c:v>
                </c:pt>
                <c:pt idx="5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6F-7244-A1D4-598EED096A0C}"/>
            </c:ext>
          </c:extLst>
        </c:ser>
        <c:ser>
          <c:idx val="5"/>
          <c:order val="5"/>
          <c:tx>
            <c:strRef>
              <c:f>'4KRR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(nvme0n1)'!$A$2:$A$7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(nvme0n1)'!$G$2:$G$7</c:f>
              <c:numCache>
                <c:formatCode>General</c:formatCode>
                <c:ptCount val="6"/>
                <c:pt idx="0">
                  <c:v>19.86</c:v>
                </c:pt>
                <c:pt idx="1">
                  <c:v>41.34</c:v>
                </c:pt>
                <c:pt idx="2">
                  <c:v>85.84</c:v>
                </c:pt>
                <c:pt idx="3">
                  <c:v>169.8</c:v>
                </c:pt>
                <c:pt idx="4">
                  <c:v>327</c:v>
                </c:pt>
                <c:pt idx="5">
                  <c:v>398.2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6F-7244-A1D4-598EED096A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8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(nvme0n1)'!$B$14:$B$19</c:f>
              <c:numCache>
                <c:formatCode>0.0</c:formatCode>
                <c:ptCount val="6"/>
                <c:pt idx="0">
                  <c:v>104.22960725075529</c:v>
                </c:pt>
                <c:pt idx="1">
                  <c:v>104.49927431059507</c:v>
                </c:pt>
                <c:pt idx="2">
                  <c:v>104.8695246971109</c:v>
                </c:pt>
                <c:pt idx="3">
                  <c:v>105.06478209658421</c:v>
                </c:pt>
                <c:pt idx="4">
                  <c:v>104.89296636085628</c:v>
                </c:pt>
                <c:pt idx="5">
                  <c:v>104.87192365645406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0-464C-ACB1-922D4C544EA7}"/>
            </c:ext>
          </c:extLst>
        </c:ser>
        <c:ser>
          <c:idx val="1"/>
          <c:order val="1"/>
          <c:tx>
            <c:strRef>
              <c:f>'4KRR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(nvme0n1)'!$C$14:$C$19</c:f>
              <c:numCache>
                <c:formatCode>0.0</c:formatCode>
                <c:ptCount val="6"/>
                <c:pt idx="0">
                  <c:v>103.22255790533737</c:v>
                </c:pt>
                <c:pt idx="1">
                  <c:v>103.72520561199808</c:v>
                </c:pt>
                <c:pt idx="2">
                  <c:v>103.93755824790307</c:v>
                </c:pt>
                <c:pt idx="3">
                  <c:v>104.12249705535925</c:v>
                </c:pt>
                <c:pt idx="4">
                  <c:v>104.28134556574923</c:v>
                </c:pt>
                <c:pt idx="5">
                  <c:v>104.36966348568559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B0-464C-ACB1-922D4C544EA7}"/>
            </c:ext>
          </c:extLst>
        </c:ser>
        <c:ser>
          <c:idx val="2"/>
          <c:order val="2"/>
          <c:tx>
            <c:strRef>
              <c:f>'4KRR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(nvme0n1)'!$D$14:$D$19</c:f>
              <c:numCache>
                <c:formatCode>0.0</c:formatCode>
                <c:ptCount val="6"/>
                <c:pt idx="0">
                  <c:v>103.22255790533737</c:v>
                </c:pt>
                <c:pt idx="1">
                  <c:v>103.48330914368648</c:v>
                </c:pt>
                <c:pt idx="2">
                  <c:v>103.98415657036347</c:v>
                </c:pt>
                <c:pt idx="3">
                  <c:v>103.886925795053</c:v>
                </c:pt>
                <c:pt idx="4">
                  <c:v>104.03669724770641</c:v>
                </c:pt>
                <c:pt idx="5">
                  <c:v>104.31943746860874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0-464C-ACB1-922D4C544EA7}"/>
            </c:ext>
          </c:extLst>
        </c:ser>
        <c:ser>
          <c:idx val="3"/>
          <c:order val="3"/>
          <c:tx>
            <c:strRef>
              <c:f>'4KRR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(nvme0n1)'!$E$14:$E$19</c:f>
              <c:numCache>
                <c:formatCode>0.0</c:formatCode>
                <c:ptCount val="6"/>
                <c:pt idx="0">
                  <c:v>103.22255790533737</c:v>
                </c:pt>
                <c:pt idx="1">
                  <c:v>103.53168843734879</c:v>
                </c:pt>
                <c:pt idx="2">
                  <c:v>103.89095992544269</c:v>
                </c:pt>
                <c:pt idx="3">
                  <c:v>104.12249705535925</c:v>
                </c:pt>
                <c:pt idx="4">
                  <c:v>103.85321100917433</c:v>
                </c:pt>
                <c:pt idx="5">
                  <c:v>103.96785534907083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B0-464C-ACB1-922D4C544EA7}"/>
            </c:ext>
          </c:extLst>
        </c:ser>
        <c:ser>
          <c:idx val="4"/>
          <c:order val="4"/>
          <c:tx>
            <c:strRef>
              <c:f>'4KRR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(nvme0n1)'!$F$14:$F$19</c:f>
              <c:numCache>
                <c:formatCode>0.0</c:formatCode>
                <c:ptCount val="6"/>
                <c:pt idx="0">
                  <c:v>104.22960725075529</c:v>
                </c:pt>
                <c:pt idx="1">
                  <c:v>104.64441219158198</c:v>
                </c:pt>
                <c:pt idx="2">
                  <c:v>104.68313140726933</c:v>
                </c:pt>
                <c:pt idx="3">
                  <c:v>104.94699646643109</c:v>
                </c:pt>
                <c:pt idx="4">
                  <c:v>104.77064220183487</c:v>
                </c:pt>
                <c:pt idx="5">
                  <c:v>104.97237569060773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DB0-464C-ACB1-922D4C544EA7}"/>
            </c:ext>
          </c:extLst>
        </c:ser>
        <c:ser>
          <c:idx val="5"/>
          <c:order val="5"/>
          <c:tx>
            <c:strRef>
              <c:f>'4KRR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(nvme0n1)'!$A$14:$A$19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(nvme0n1)'!$G$14:$G$19</c:f>
              <c:numCache>
                <c:formatCode>0.0</c:formatCode>
                <c:ptCount val="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0-464C-ACB1-922D4C544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6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'4KRR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(nvme0n1)'!$B$26:$B$31</c:f>
              <c:numCache>
                <c:formatCode>General</c:formatCode>
                <c:ptCount val="6"/>
                <c:pt idx="0">
                  <c:v>99.9</c:v>
                </c:pt>
                <c:pt idx="1">
                  <c:v>99.92</c:v>
                </c:pt>
                <c:pt idx="2">
                  <c:v>99.93</c:v>
                </c:pt>
                <c:pt idx="3">
                  <c:v>99.93</c:v>
                </c:pt>
                <c:pt idx="4">
                  <c:v>99.93</c:v>
                </c:pt>
                <c:pt idx="5">
                  <c:v>99.88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B-DF4D-BAC9-F57D6DC02530}"/>
            </c:ext>
          </c:extLst>
        </c:ser>
        <c:ser>
          <c:idx val="1"/>
          <c:order val="1"/>
          <c:tx>
            <c:strRef>
              <c:f>'4KRR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(nvme0n1)'!$C$26:$C$31</c:f>
              <c:numCache>
                <c:formatCode>General</c:formatCode>
                <c:ptCount val="6"/>
                <c:pt idx="0">
                  <c:v>51.68</c:v>
                </c:pt>
                <c:pt idx="1">
                  <c:v>51.75</c:v>
                </c:pt>
                <c:pt idx="2">
                  <c:v>51.81</c:v>
                </c:pt>
                <c:pt idx="3">
                  <c:v>51.84</c:v>
                </c:pt>
                <c:pt idx="4">
                  <c:v>51.73</c:v>
                </c:pt>
                <c:pt idx="5">
                  <c:v>51.69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6B-DF4D-BAC9-F57D6DC02530}"/>
            </c:ext>
          </c:extLst>
        </c:ser>
        <c:ser>
          <c:idx val="2"/>
          <c:order val="2"/>
          <c:tx>
            <c:strRef>
              <c:f>'4KRR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(nvme0n1)'!$D$26:$D$31</c:f>
              <c:numCache>
                <c:formatCode>General</c:formatCode>
                <c:ptCount val="6"/>
                <c:pt idx="0">
                  <c:v>28.75</c:v>
                </c:pt>
                <c:pt idx="1">
                  <c:v>25.33</c:v>
                </c:pt>
                <c:pt idx="2">
                  <c:v>21.97</c:v>
                </c:pt>
                <c:pt idx="3">
                  <c:v>22.56</c:v>
                </c:pt>
                <c:pt idx="4">
                  <c:v>25.51</c:v>
                </c:pt>
                <c:pt idx="5">
                  <c:v>27.07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56B-DF4D-BAC9-F57D6DC02530}"/>
            </c:ext>
          </c:extLst>
        </c:ser>
        <c:ser>
          <c:idx val="3"/>
          <c:order val="3"/>
          <c:tx>
            <c:strRef>
              <c:f>'4KRR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(nvme0n1)'!$E$26:$E$31</c:f>
              <c:numCache>
                <c:formatCode>General</c:formatCode>
                <c:ptCount val="6"/>
                <c:pt idx="0">
                  <c:v>24.79</c:v>
                </c:pt>
                <c:pt idx="1">
                  <c:v>21.45</c:v>
                </c:pt>
                <c:pt idx="2">
                  <c:v>18.079999999999998</c:v>
                </c:pt>
                <c:pt idx="3">
                  <c:v>18.63</c:v>
                </c:pt>
                <c:pt idx="4">
                  <c:v>20.76</c:v>
                </c:pt>
                <c:pt idx="5">
                  <c:v>22.02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56B-DF4D-BAC9-F57D6DC02530}"/>
            </c:ext>
          </c:extLst>
        </c:ser>
        <c:ser>
          <c:idx val="4"/>
          <c:order val="4"/>
          <c:tx>
            <c:strRef>
              <c:f>'4KRR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(nvme0n1)'!$F$26:$F$31</c:f>
              <c:numCache>
                <c:formatCode>General</c:formatCode>
                <c:ptCount val="6"/>
                <c:pt idx="0">
                  <c:v>93.03</c:v>
                </c:pt>
                <c:pt idx="1">
                  <c:v>92.74</c:v>
                </c:pt>
                <c:pt idx="2">
                  <c:v>92.44</c:v>
                </c:pt>
                <c:pt idx="3">
                  <c:v>92.41</c:v>
                </c:pt>
                <c:pt idx="4">
                  <c:v>92.65</c:v>
                </c:pt>
                <c:pt idx="5">
                  <c:v>92.6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56B-DF4D-BAC9-F57D6DC02530}"/>
            </c:ext>
          </c:extLst>
        </c:ser>
        <c:ser>
          <c:idx val="5"/>
          <c:order val="5"/>
          <c:tx>
            <c:strRef>
              <c:f>'4KRR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'4KRR P41 (nvme0n1)'!$A$26:$A$31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20</c:v>
                </c:pt>
              </c:numCache>
            </c:numRef>
          </c:cat>
          <c:val>
            <c:numRef>
              <c:f>'4KRR P41 (nvme0n1)'!$G$26:$G$31</c:f>
              <c:numCache>
                <c:formatCode>General</c:formatCode>
                <c:ptCount val="6"/>
                <c:pt idx="0">
                  <c:v>7.12</c:v>
                </c:pt>
                <c:pt idx="1">
                  <c:v>7.53</c:v>
                </c:pt>
                <c:pt idx="2">
                  <c:v>7.73</c:v>
                </c:pt>
                <c:pt idx="3">
                  <c:v>7.69</c:v>
                </c:pt>
                <c:pt idx="4">
                  <c:v>7.44</c:v>
                </c:pt>
                <c:pt idx="5">
                  <c:v>7.31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6B-DF4D-BAC9-F57D6DC02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'8-128KRR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(nvme1n1)'!$B$2:$B$6</c:f>
              <c:numCache>
                <c:formatCode>General</c:formatCode>
                <c:ptCount val="5"/>
                <c:pt idx="0">
                  <c:v>98540</c:v>
                </c:pt>
                <c:pt idx="1">
                  <c:v>59000</c:v>
                </c:pt>
                <c:pt idx="2">
                  <c:v>44340</c:v>
                </c:pt>
                <c:pt idx="3">
                  <c:v>29780</c:v>
                </c:pt>
                <c:pt idx="4">
                  <c:v>16640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0B-1E43-84AE-F805E765221D}"/>
            </c:ext>
          </c:extLst>
        </c:ser>
        <c:ser>
          <c:idx val="1"/>
          <c:order val="1"/>
          <c:tx>
            <c:strRef>
              <c:f>'8-128KRR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(nvme1n1)'!$C$2:$C$6</c:f>
              <c:numCache>
                <c:formatCode>General</c:formatCode>
                <c:ptCount val="5"/>
                <c:pt idx="0">
                  <c:v>93840</c:v>
                </c:pt>
                <c:pt idx="1">
                  <c:v>57740</c:v>
                </c:pt>
                <c:pt idx="2">
                  <c:v>43480</c:v>
                </c:pt>
                <c:pt idx="3">
                  <c:v>29420</c:v>
                </c:pt>
                <c:pt idx="4">
                  <c:v>16500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0B-1E43-84AE-F805E765221D}"/>
            </c:ext>
          </c:extLst>
        </c:ser>
        <c:ser>
          <c:idx val="2"/>
          <c:order val="2"/>
          <c:tx>
            <c:strRef>
              <c:f>'8-128KRR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(nvme1n1)'!$D$2:$D$6</c:f>
              <c:numCache>
                <c:formatCode>General</c:formatCode>
                <c:ptCount val="5"/>
                <c:pt idx="0">
                  <c:v>94000</c:v>
                </c:pt>
                <c:pt idx="1">
                  <c:v>57620</c:v>
                </c:pt>
                <c:pt idx="2">
                  <c:v>43380</c:v>
                </c:pt>
                <c:pt idx="3">
                  <c:v>29400</c:v>
                </c:pt>
                <c:pt idx="4">
                  <c:v>16060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0B-1E43-84AE-F805E765221D}"/>
            </c:ext>
          </c:extLst>
        </c:ser>
        <c:ser>
          <c:idx val="3"/>
          <c:order val="3"/>
          <c:tx>
            <c:strRef>
              <c:f>'8-128KRR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(nvme1n1)'!$E$2:$E$6</c:f>
              <c:numCache>
                <c:formatCode>General</c:formatCode>
                <c:ptCount val="5"/>
                <c:pt idx="0">
                  <c:v>94860</c:v>
                </c:pt>
                <c:pt idx="1">
                  <c:v>57700</c:v>
                </c:pt>
                <c:pt idx="2">
                  <c:v>43480</c:v>
                </c:pt>
                <c:pt idx="3">
                  <c:v>29420</c:v>
                </c:pt>
                <c:pt idx="4">
                  <c:v>16540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70B-1E43-84AE-F805E765221D}"/>
            </c:ext>
          </c:extLst>
        </c:ser>
        <c:ser>
          <c:idx val="4"/>
          <c:order val="4"/>
          <c:tx>
            <c:strRef>
              <c:f>'8-128KRR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(nvme1n1)'!$F$2:$F$6</c:f>
              <c:numCache>
                <c:formatCode>General</c:formatCode>
                <c:ptCount val="5"/>
                <c:pt idx="0">
                  <c:v>97780</c:v>
                </c:pt>
                <c:pt idx="1">
                  <c:v>58980</c:v>
                </c:pt>
                <c:pt idx="2">
                  <c:v>44300</c:v>
                </c:pt>
                <c:pt idx="3">
                  <c:v>29760</c:v>
                </c:pt>
                <c:pt idx="4">
                  <c:v>16620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70B-1E43-84AE-F805E765221D}"/>
            </c:ext>
          </c:extLst>
        </c:ser>
        <c:ser>
          <c:idx val="5"/>
          <c:order val="5"/>
          <c:tx>
            <c:strRef>
              <c:f>'8-128KRR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254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(nvme1n1)'!$G$2:$G$6</c:f>
              <c:numCache>
                <c:formatCode>General</c:formatCode>
                <c:ptCount val="5"/>
                <c:pt idx="0">
                  <c:v>81280</c:v>
                </c:pt>
                <c:pt idx="1">
                  <c:v>52360</c:v>
                </c:pt>
                <c:pt idx="2">
                  <c:v>40460</c:v>
                </c:pt>
                <c:pt idx="3">
                  <c:v>27960</c:v>
                </c:pt>
                <c:pt idx="4">
                  <c:v>16080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70B-1E43-84AE-F805E7652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(nvme1n1)'!$G$14:$G$18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B5-884E-A1DB-C1F6F3DB22A0}"/>
            </c:ext>
          </c:extLst>
        </c:ser>
        <c:ser>
          <c:idx val="0"/>
          <c:order val="1"/>
          <c:tx>
            <c:strRef>
              <c:f>'8-128KRR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(nvme1n1)'!$B$14:$B$18</c:f>
              <c:numCache>
                <c:formatCode>0.0</c:formatCode>
                <c:ptCount val="5"/>
                <c:pt idx="0">
                  <c:v>121.23523622047243</c:v>
                </c:pt>
                <c:pt idx="1">
                  <c:v>112.68143621084799</c:v>
                </c:pt>
                <c:pt idx="2">
                  <c:v>109.58971824023726</c:v>
                </c:pt>
                <c:pt idx="3">
                  <c:v>106.50929899856938</c:v>
                </c:pt>
                <c:pt idx="4">
                  <c:v>103.48258706467661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B5-884E-A1DB-C1F6F3DB22A0}"/>
            </c:ext>
          </c:extLst>
        </c:ser>
        <c:ser>
          <c:idx val="1"/>
          <c:order val="2"/>
          <c:tx>
            <c:strRef>
              <c:f>'8-128KRR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(nvme1n1)'!$C$14:$C$18</c:f>
              <c:numCache>
                <c:formatCode>0.0</c:formatCode>
                <c:ptCount val="5"/>
                <c:pt idx="0">
                  <c:v>115.45275590551181</c:v>
                </c:pt>
                <c:pt idx="1">
                  <c:v>110.27501909854851</c:v>
                </c:pt>
                <c:pt idx="2">
                  <c:v>107.46416213544241</c:v>
                </c:pt>
                <c:pt idx="3">
                  <c:v>105.22174535050071</c:v>
                </c:pt>
                <c:pt idx="4">
                  <c:v>102.61194029850746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B5-884E-A1DB-C1F6F3DB22A0}"/>
            </c:ext>
          </c:extLst>
        </c:ser>
        <c:ser>
          <c:idx val="2"/>
          <c:order val="3"/>
          <c:tx>
            <c:strRef>
              <c:f>'8-128KRR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(nvme1n1)'!$D$14:$D$18</c:f>
              <c:numCache>
                <c:formatCode>0.0</c:formatCode>
                <c:ptCount val="5"/>
                <c:pt idx="0">
                  <c:v>115.64960629921259</c:v>
                </c:pt>
                <c:pt idx="1">
                  <c:v>110.04583651642474</c:v>
                </c:pt>
                <c:pt idx="2">
                  <c:v>107.21700444883835</c:v>
                </c:pt>
                <c:pt idx="3">
                  <c:v>105.15021459227466</c:v>
                </c:pt>
                <c:pt idx="4">
                  <c:v>99.875621890547265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B5-884E-A1DB-C1F6F3DB22A0}"/>
            </c:ext>
          </c:extLst>
        </c:ser>
        <c:ser>
          <c:idx val="3"/>
          <c:order val="4"/>
          <c:tx>
            <c:strRef>
              <c:f>'8-128KRR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(nvme1n1)'!$E$14:$E$18</c:f>
              <c:numCache>
                <c:formatCode>0.0</c:formatCode>
                <c:ptCount val="5"/>
                <c:pt idx="0">
                  <c:v>116.70767716535433</c:v>
                </c:pt>
                <c:pt idx="1">
                  <c:v>110.19862490450724</c:v>
                </c:pt>
                <c:pt idx="2">
                  <c:v>107.46416213544241</c:v>
                </c:pt>
                <c:pt idx="3">
                  <c:v>105.22174535050071</c:v>
                </c:pt>
                <c:pt idx="4">
                  <c:v>102.86069651741295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B5-884E-A1DB-C1F6F3DB22A0}"/>
            </c:ext>
          </c:extLst>
        </c:ser>
        <c:ser>
          <c:idx val="4"/>
          <c:order val="5"/>
          <c:tx>
            <c:strRef>
              <c:f>'8-128KRR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Optane (nvme1n1)'!$A$14:$A$18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(nvme1n1)'!$F$14:$F$18</c:f>
              <c:numCache>
                <c:formatCode>0.0</c:formatCode>
                <c:ptCount val="5"/>
                <c:pt idx="0">
                  <c:v>120.3001968503937</c:v>
                </c:pt>
                <c:pt idx="1">
                  <c:v>112.64323911382735</c:v>
                </c:pt>
                <c:pt idx="2">
                  <c:v>109.49085516559565</c:v>
                </c:pt>
                <c:pt idx="3">
                  <c:v>106.43776824034335</c:v>
                </c:pt>
                <c:pt idx="4">
                  <c:v>103.35820895522387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3B5-884E-A1DB-C1F6F3DB2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22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10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Optane (nvme1n1)'!$G$1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(nvme1n1)'!$G$26:$G$30</c:f>
              <c:numCache>
                <c:formatCode>General</c:formatCode>
                <c:ptCount val="5"/>
                <c:pt idx="0">
                  <c:v>30.99</c:v>
                </c:pt>
                <c:pt idx="1">
                  <c:v>21.42</c:v>
                </c:pt>
                <c:pt idx="2">
                  <c:v>18.3</c:v>
                </c:pt>
                <c:pt idx="3">
                  <c:v>15.1</c:v>
                </c:pt>
                <c:pt idx="4">
                  <c:v>11.22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72-0A4A-9191-C76DEE3C71F4}"/>
            </c:ext>
          </c:extLst>
        </c:ser>
        <c:ser>
          <c:idx val="0"/>
          <c:order val="1"/>
          <c:tx>
            <c:strRef>
              <c:f>'8-128KRR Optane (nvme1n1)'!$B$1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(nvme1n1)'!$B$26:$B$30</c:f>
              <c:numCache>
                <c:formatCode>General</c:formatCode>
                <c:ptCount val="5"/>
                <c:pt idx="0">
                  <c:v>99.91</c:v>
                </c:pt>
                <c:pt idx="1">
                  <c:v>99.91</c:v>
                </c:pt>
                <c:pt idx="2">
                  <c:v>99.91</c:v>
                </c:pt>
                <c:pt idx="3">
                  <c:v>99.91</c:v>
                </c:pt>
                <c:pt idx="4">
                  <c:v>99.9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72-0A4A-9191-C76DEE3C71F4}"/>
            </c:ext>
          </c:extLst>
        </c:ser>
        <c:ser>
          <c:idx val="1"/>
          <c:order val="2"/>
          <c:tx>
            <c:strRef>
              <c:f>'8-128KRR Optane (nvme1n1)'!$C$1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(nvme1n1)'!$C$26:$C$30</c:f>
              <c:numCache>
                <c:formatCode>General</c:formatCode>
                <c:ptCount val="5"/>
                <c:pt idx="0">
                  <c:v>59.08</c:v>
                </c:pt>
                <c:pt idx="1">
                  <c:v>56.13</c:v>
                </c:pt>
                <c:pt idx="2">
                  <c:v>55.49</c:v>
                </c:pt>
                <c:pt idx="3">
                  <c:v>54.79</c:v>
                </c:pt>
                <c:pt idx="4">
                  <c:v>53.83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A72-0A4A-9191-C76DEE3C71F4}"/>
            </c:ext>
          </c:extLst>
        </c:ser>
        <c:ser>
          <c:idx val="2"/>
          <c:order val="3"/>
          <c:tx>
            <c:strRef>
              <c:f>'8-128KRR Optane (nvme1n1)'!$D$1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(nvme1n1)'!$D$26:$D$30</c:f>
              <c:numCache>
                <c:formatCode>General</c:formatCode>
                <c:ptCount val="5"/>
                <c:pt idx="0">
                  <c:v>60.25</c:v>
                </c:pt>
                <c:pt idx="1">
                  <c:v>38.22</c:v>
                </c:pt>
                <c:pt idx="2">
                  <c:v>30.69</c:v>
                </c:pt>
                <c:pt idx="3">
                  <c:v>22.96</c:v>
                </c:pt>
                <c:pt idx="4">
                  <c:v>11.28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A72-0A4A-9191-C76DEE3C71F4}"/>
            </c:ext>
          </c:extLst>
        </c:ser>
        <c:ser>
          <c:idx val="3"/>
          <c:order val="4"/>
          <c:tx>
            <c:strRef>
              <c:f>'8-128KRR Optane (nvme1n1)'!$E$1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(nvme1n1)'!$E$26:$E$30</c:f>
              <c:numCache>
                <c:formatCode>General</c:formatCode>
                <c:ptCount val="5"/>
                <c:pt idx="0">
                  <c:v>44.81</c:v>
                </c:pt>
                <c:pt idx="1">
                  <c:v>29.57</c:v>
                </c:pt>
                <c:pt idx="2">
                  <c:v>24.4</c:v>
                </c:pt>
                <c:pt idx="3">
                  <c:v>19.260000000000002</c:v>
                </c:pt>
                <c:pt idx="4">
                  <c:v>13.83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A72-0A4A-9191-C76DEE3C71F4}"/>
            </c:ext>
          </c:extLst>
        </c:ser>
        <c:ser>
          <c:idx val="4"/>
          <c:order val="5"/>
          <c:tx>
            <c:strRef>
              <c:f>'8-128KRR Optane (nvme1n1)'!$F$1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Optane (nvme1n1)'!$A$26:$A$30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Optane (nvme1n1)'!$F$26:$F$30</c:f>
              <c:numCache>
                <c:formatCode>General</c:formatCode>
                <c:ptCount val="5"/>
                <c:pt idx="0">
                  <c:v>94.84</c:v>
                </c:pt>
                <c:pt idx="1">
                  <c:v>93.43</c:v>
                </c:pt>
                <c:pt idx="2">
                  <c:v>92.98</c:v>
                </c:pt>
                <c:pt idx="3">
                  <c:v>92.55</c:v>
                </c:pt>
                <c:pt idx="4">
                  <c:v>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A72-0A4A-9191-C76DEE3C7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'8-128KRR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(nvme2n1)'!$B$2:$B$6</c:f>
              <c:numCache>
                <c:formatCode>General</c:formatCode>
                <c:ptCount val="5"/>
                <c:pt idx="0">
                  <c:v>44620</c:v>
                </c:pt>
                <c:pt idx="1">
                  <c:v>40360</c:v>
                </c:pt>
                <c:pt idx="2">
                  <c:v>31140</c:v>
                </c:pt>
                <c:pt idx="3">
                  <c:v>21500</c:v>
                </c:pt>
                <c:pt idx="4">
                  <c:v>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5F-E34C-A9E8-92E1315EC6B1}"/>
            </c:ext>
          </c:extLst>
        </c:ser>
        <c:ser>
          <c:idx val="1"/>
          <c:order val="1"/>
          <c:tx>
            <c:strRef>
              <c:f>'8-128KRR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(nvme2n1)'!$C$2:$C$6</c:f>
              <c:numCache>
                <c:formatCode>General</c:formatCode>
                <c:ptCount val="5"/>
                <c:pt idx="0">
                  <c:v>44260</c:v>
                </c:pt>
                <c:pt idx="1">
                  <c:v>40000</c:v>
                </c:pt>
                <c:pt idx="2">
                  <c:v>30800</c:v>
                </c:pt>
                <c:pt idx="3">
                  <c:v>21320</c:v>
                </c:pt>
                <c:pt idx="4">
                  <c:v>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4B-AE4F-994B-BDA379440ACD}"/>
            </c:ext>
          </c:extLst>
        </c:ser>
        <c:ser>
          <c:idx val="2"/>
          <c:order val="2"/>
          <c:tx>
            <c:strRef>
              <c:f>'8-128KRR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(nvme2n1)'!$D$2:$D$6</c:f>
              <c:numCache>
                <c:formatCode>General</c:formatCode>
                <c:ptCount val="5"/>
                <c:pt idx="0">
                  <c:v>44340</c:v>
                </c:pt>
                <c:pt idx="1">
                  <c:v>40000</c:v>
                </c:pt>
                <c:pt idx="2">
                  <c:v>30800</c:v>
                </c:pt>
                <c:pt idx="3">
                  <c:v>21320</c:v>
                </c:pt>
                <c:pt idx="4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4B-AE4F-994B-BDA379440ACD}"/>
            </c:ext>
          </c:extLst>
        </c:ser>
        <c:ser>
          <c:idx val="3"/>
          <c:order val="3"/>
          <c:tx>
            <c:strRef>
              <c:f>'8-128KRR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(nvme2n1)'!$E$2:$E$6</c:f>
              <c:numCache>
                <c:formatCode>General</c:formatCode>
                <c:ptCount val="5"/>
                <c:pt idx="0">
                  <c:v>44200</c:v>
                </c:pt>
                <c:pt idx="1">
                  <c:v>39920</c:v>
                </c:pt>
                <c:pt idx="2">
                  <c:v>30740</c:v>
                </c:pt>
                <c:pt idx="3">
                  <c:v>21280</c:v>
                </c:pt>
                <c:pt idx="4">
                  <c:v>13700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4B-AE4F-994B-BDA379440ACD}"/>
            </c:ext>
          </c:extLst>
        </c:ser>
        <c:ser>
          <c:idx val="4"/>
          <c:order val="4"/>
          <c:tx>
            <c:strRef>
              <c:f>'8-128KRR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(nvme2n1)'!$F$2:$F$6</c:f>
              <c:numCache>
                <c:formatCode>General</c:formatCode>
                <c:ptCount val="5"/>
                <c:pt idx="0">
                  <c:v>44620</c:v>
                </c:pt>
                <c:pt idx="1">
                  <c:v>40340</c:v>
                </c:pt>
                <c:pt idx="2">
                  <c:v>31120</c:v>
                </c:pt>
                <c:pt idx="3">
                  <c:v>21500</c:v>
                </c:pt>
                <c:pt idx="4">
                  <c:v>13720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4B-AE4F-994B-BDA379440ACD}"/>
            </c:ext>
          </c:extLst>
        </c:ser>
        <c:ser>
          <c:idx val="5"/>
          <c:order val="5"/>
          <c:tx>
            <c:strRef>
              <c:f>'8-128KRR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25400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(nvme2n1)'!$G$2:$G$6</c:f>
              <c:numCache>
                <c:formatCode>General</c:formatCode>
                <c:ptCount val="5"/>
                <c:pt idx="0">
                  <c:v>41420</c:v>
                </c:pt>
                <c:pt idx="1">
                  <c:v>37780</c:v>
                </c:pt>
                <c:pt idx="2">
                  <c:v>29300</c:v>
                </c:pt>
                <c:pt idx="3">
                  <c:v>20600</c:v>
                </c:pt>
                <c:pt idx="4">
                  <c:v>13500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24B-AE4F-994B-BDA37944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1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(nvme2n1)'!$G$14:$G$18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F2-5340-ADA8-0403E21D272C}"/>
            </c:ext>
          </c:extLst>
        </c:ser>
        <c:ser>
          <c:idx val="0"/>
          <c:order val="1"/>
          <c:tx>
            <c:strRef>
              <c:f>'8-128KRR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(nvme2n1)'!$B$14:$B$18</c:f>
              <c:numCache>
                <c:formatCode>0.0</c:formatCode>
                <c:ptCount val="5"/>
                <c:pt idx="0">
                  <c:v>107.72573635924674</c:v>
                </c:pt>
                <c:pt idx="1">
                  <c:v>106.82901005823186</c:v>
                </c:pt>
                <c:pt idx="2">
                  <c:v>106.27986348122866</c:v>
                </c:pt>
                <c:pt idx="3">
                  <c:v>104.36893203883496</c:v>
                </c:pt>
                <c:pt idx="4">
                  <c:v>101.48148148148148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F2-5340-ADA8-0403E21D272C}"/>
            </c:ext>
          </c:extLst>
        </c:ser>
        <c:ser>
          <c:idx val="1"/>
          <c:order val="2"/>
          <c:tx>
            <c:strRef>
              <c:f>'8-128KRR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(nvme2n1)'!$C$14:$C$18</c:f>
              <c:numCache>
                <c:formatCode>0.0</c:formatCode>
                <c:ptCount val="5"/>
                <c:pt idx="0">
                  <c:v>106.85659101883149</c:v>
                </c:pt>
                <c:pt idx="1">
                  <c:v>105.87612493382743</c:v>
                </c:pt>
                <c:pt idx="2">
                  <c:v>105.11945392491468</c:v>
                </c:pt>
                <c:pt idx="3">
                  <c:v>103.49514563106797</c:v>
                </c:pt>
                <c:pt idx="4">
                  <c:v>101.48148148148148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F2-5340-ADA8-0403E21D272C}"/>
            </c:ext>
          </c:extLst>
        </c:ser>
        <c:ser>
          <c:idx val="2"/>
          <c:order val="3"/>
          <c:tx>
            <c:strRef>
              <c:f>'8-128KRR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(nvme2n1)'!$D$14:$D$18</c:f>
              <c:numCache>
                <c:formatCode>0.0</c:formatCode>
                <c:ptCount val="5"/>
                <c:pt idx="0">
                  <c:v>107.04973442781265</c:v>
                </c:pt>
                <c:pt idx="1">
                  <c:v>105.87612493382743</c:v>
                </c:pt>
                <c:pt idx="2">
                  <c:v>105.11945392491468</c:v>
                </c:pt>
                <c:pt idx="3">
                  <c:v>103.49514563106797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F2-5340-ADA8-0403E21D272C}"/>
            </c:ext>
          </c:extLst>
        </c:ser>
        <c:ser>
          <c:idx val="3"/>
          <c:order val="4"/>
          <c:tx>
            <c:strRef>
              <c:f>'8-128KRR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(nvme2n1)'!$E$14:$E$18</c:f>
              <c:numCache>
                <c:formatCode>0.0</c:formatCode>
                <c:ptCount val="5"/>
                <c:pt idx="0">
                  <c:v>106.71173346209561</c:v>
                </c:pt>
                <c:pt idx="1">
                  <c:v>105.66437268395975</c:v>
                </c:pt>
                <c:pt idx="2">
                  <c:v>104.91467576791808</c:v>
                </c:pt>
                <c:pt idx="3">
                  <c:v>103.3009708737864</c:v>
                </c:pt>
                <c:pt idx="4">
                  <c:v>101.48148148148148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F2-5340-ADA8-0403E21D272C}"/>
            </c:ext>
          </c:extLst>
        </c:ser>
        <c:ser>
          <c:idx val="4"/>
          <c:order val="5"/>
          <c:tx>
            <c:strRef>
              <c:f>'8-128KRR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ZSSD (nvme2n1)'!$A$14:$A$18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(nvme2n1)'!$F$14:$F$18</c:f>
              <c:numCache>
                <c:formatCode>0.0</c:formatCode>
                <c:ptCount val="5"/>
                <c:pt idx="0">
                  <c:v>107.72573635924674</c:v>
                </c:pt>
                <c:pt idx="1">
                  <c:v>106.77607199576495</c:v>
                </c:pt>
                <c:pt idx="2">
                  <c:v>106.21160409556313</c:v>
                </c:pt>
                <c:pt idx="3">
                  <c:v>104.36893203883496</c:v>
                </c:pt>
                <c:pt idx="4">
                  <c:v>101.62962962962962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EF2-5340-ADA8-0403E21D2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10"/>
          <c:min val="9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5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ZSSD (nvme2n1)'!$G$1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(nvme2n1)'!$G$26:$G$30</c:f>
              <c:numCache>
                <c:formatCode>General</c:formatCode>
                <c:ptCount val="5"/>
                <c:pt idx="0">
                  <c:v>15.95</c:v>
                </c:pt>
                <c:pt idx="1">
                  <c:v>15.37</c:v>
                </c:pt>
                <c:pt idx="2">
                  <c:v>13.28</c:v>
                </c:pt>
                <c:pt idx="3">
                  <c:v>11.08</c:v>
                </c:pt>
                <c:pt idx="4">
                  <c:v>9.44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9A-EC44-AF0F-FFBBCE8AD2A1}"/>
            </c:ext>
          </c:extLst>
        </c:ser>
        <c:ser>
          <c:idx val="0"/>
          <c:order val="1"/>
          <c:tx>
            <c:strRef>
              <c:f>'8-128KRR ZSSD (nvme2n1)'!$B$1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(nvme2n1)'!$B$26:$B$30</c:f>
              <c:numCache>
                <c:formatCode>General</c:formatCode>
                <c:ptCount val="5"/>
                <c:pt idx="0">
                  <c:v>99.94</c:v>
                </c:pt>
                <c:pt idx="1">
                  <c:v>99.93</c:v>
                </c:pt>
                <c:pt idx="2">
                  <c:v>99.93</c:v>
                </c:pt>
                <c:pt idx="3">
                  <c:v>99.93</c:v>
                </c:pt>
                <c:pt idx="4">
                  <c:v>99.93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9A-EC44-AF0F-FFBBCE8AD2A1}"/>
            </c:ext>
          </c:extLst>
        </c:ser>
        <c:ser>
          <c:idx val="1"/>
          <c:order val="2"/>
          <c:tx>
            <c:strRef>
              <c:f>'8-128KRR ZSSD (nvme2n1)'!$C$1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(nvme2n1)'!$C$26:$C$30</c:f>
              <c:numCache>
                <c:formatCode>General</c:formatCode>
                <c:ptCount val="5"/>
                <c:pt idx="0">
                  <c:v>54.3</c:v>
                </c:pt>
                <c:pt idx="1">
                  <c:v>54.22</c:v>
                </c:pt>
                <c:pt idx="2">
                  <c:v>53.91</c:v>
                </c:pt>
                <c:pt idx="3">
                  <c:v>53.47</c:v>
                </c:pt>
                <c:pt idx="4">
                  <c:v>53.17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9A-EC44-AF0F-FFBBCE8AD2A1}"/>
            </c:ext>
          </c:extLst>
        </c:ser>
        <c:ser>
          <c:idx val="2"/>
          <c:order val="3"/>
          <c:tx>
            <c:strRef>
              <c:f>'8-128KRR ZSSD (nvme2n1)'!$D$1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(nvme2n1)'!$D$26:$D$30</c:f>
              <c:numCache>
                <c:formatCode>General</c:formatCode>
                <c:ptCount val="5"/>
                <c:pt idx="0">
                  <c:v>36.68</c:v>
                </c:pt>
                <c:pt idx="1">
                  <c:v>33.47</c:v>
                </c:pt>
                <c:pt idx="2">
                  <c:v>29.05</c:v>
                </c:pt>
                <c:pt idx="3">
                  <c:v>24.25</c:v>
                </c:pt>
                <c:pt idx="4">
                  <c:v>9.49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9A-EC44-AF0F-FFBBCE8AD2A1}"/>
            </c:ext>
          </c:extLst>
        </c:ser>
        <c:ser>
          <c:idx val="3"/>
          <c:order val="4"/>
          <c:tx>
            <c:strRef>
              <c:f>'8-128KRR ZSSD (nvme2n1)'!$E$1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(nvme2n1)'!$E$26:$E$30</c:f>
              <c:numCache>
                <c:formatCode>General</c:formatCode>
                <c:ptCount val="5"/>
                <c:pt idx="0">
                  <c:v>25.79</c:v>
                </c:pt>
                <c:pt idx="1">
                  <c:v>23.68</c:v>
                </c:pt>
                <c:pt idx="2">
                  <c:v>20.260000000000002</c:v>
                </c:pt>
                <c:pt idx="3">
                  <c:v>16.52</c:v>
                </c:pt>
                <c:pt idx="4">
                  <c:v>14.16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9A-EC44-AF0F-FFBBCE8AD2A1}"/>
            </c:ext>
          </c:extLst>
        </c:ser>
        <c:ser>
          <c:idx val="4"/>
          <c:order val="5"/>
          <c:tx>
            <c:strRef>
              <c:f>'8-128KRR ZSSD (nvme2n1)'!$F$1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ZSSD (nvme2n1)'!$A$26:$A$30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ZSSD (nvme2n1)'!$F$26:$F$30</c:f>
              <c:numCache>
                <c:formatCode>General</c:formatCode>
                <c:ptCount val="5"/>
                <c:pt idx="0">
                  <c:v>93.18</c:v>
                </c:pt>
                <c:pt idx="1">
                  <c:v>93</c:v>
                </c:pt>
                <c:pt idx="2">
                  <c:v>92.66</c:v>
                </c:pt>
                <c:pt idx="3">
                  <c:v>92.31</c:v>
                </c:pt>
                <c:pt idx="4">
                  <c:v>92.14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9A-EC44-AF0F-FFBBCE8A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'8-128KRR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(nvme0n1)'!$B$2:$B$6</c:f>
              <c:numCache>
                <c:formatCode>General</c:formatCode>
                <c:ptCount val="5"/>
                <c:pt idx="0">
                  <c:v>23200</c:v>
                </c:pt>
                <c:pt idx="1">
                  <c:v>15700</c:v>
                </c:pt>
                <c:pt idx="2">
                  <c:v>13800</c:v>
                </c:pt>
                <c:pt idx="3">
                  <c:v>10900</c:v>
                </c:pt>
                <c:pt idx="4">
                  <c:v>7732.6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B1-B943-BA9E-355231CCE9BC}"/>
            </c:ext>
          </c:extLst>
        </c:ser>
        <c:ser>
          <c:idx val="1"/>
          <c:order val="1"/>
          <c:tx>
            <c:strRef>
              <c:f>'8-128KRR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(nvme0n1)'!$C$2:$C$6</c:f>
              <c:numCache>
                <c:formatCode>General</c:formatCode>
                <c:ptCount val="5"/>
                <c:pt idx="0">
                  <c:v>23000</c:v>
                </c:pt>
                <c:pt idx="1">
                  <c:v>15600</c:v>
                </c:pt>
                <c:pt idx="2">
                  <c:v>13780</c:v>
                </c:pt>
                <c:pt idx="3">
                  <c:v>10800</c:v>
                </c:pt>
                <c:pt idx="4">
                  <c:v>7707.2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B1-B943-BA9E-355231CCE9BC}"/>
            </c:ext>
          </c:extLst>
        </c:ser>
        <c:ser>
          <c:idx val="2"/>
          <c:order val="2"/>
          <c:tx>
            <c:strRef>
              <c:f>'8-128KRR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(nvme0n1)'!$D$2:$D$6</c:f>
              <c:numCache>
                <c:formatCode>General</c:formatCode>
                <c:ptCount val="5"/>
                <c:pt idx="0">
                  <c:v>22700</c:v>
                </c:pt>
                <c:pt idx="1">
                  <c:v>15220</c:v>
                </c:pt>
                <c:pt idx="2">
                  <c:v>13500</c:v>
                </c:pt>
                <c:pt idx="3">
                  <c:v>10700</c:v>
                </c:pt>
                <c:pt idx="4">
                  <c:v>7615.2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B1-B943-BA9E-355231CCE9BC}"/>
            </c:ext>
          </c:extLst>
        </c:ser>
        <c:ser>
          <c:idx val="3"/>
          <c:order val="3"/>
          <c:tx>
            <c:strRef>
              <c:f>'8-128KRR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(nvme0n1)'!$E$2:$E$6</c:f>
              <c:numCache>
                <c:formatCode>General</c:formatCode>
                <c:ptCount val="5"/>
                <c:pt idx="0">
                  <c:v>23020</c:v>
                </c:pt>
                <c:pt idx="1">
                  <c:v>15560</c:v>
                </c:pt>
                <c:pt idx="2">
                  <c:v>13720</c:v>
                </c:pt>
                <c:pt idx="3">
                  <c:v>10800</c:v>
                </c:pt>
                <c:pt idx="4">
                  <c:v>7686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B1-B943-BA9E-355231CCE9BC}"/>
            </c:ext>
          </c:extLst>
        </c:ser>
        <c:ser>
          <c:idx val="4"/>
          <c:order val="4"/>
          <c:tx>
            <c:strRef>
              <c:f>'8-128KRR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(nvme0n1)'!$F$2:$F$6</c:f>
              <c:numCache>
                <c:formatCode>General</c:formatCode>
                <c:ptCount val="5"/>
                <c:pt idx="0">
                  <c:v>23240</c:v>
                </c:pt>
                <c:pt idx="1">
                  <c:v>15700</c:v>
                </c:pt>
                <c:pt idx="2">
                  <c:v>13820</c:v>
                </c:pt>
                <c:pt idx="3">
                  <c:v>10900</c:v>
                </c:pt>
                <c:pt idx="4">
                  <c:v>7532.4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B1-B943-BA9E-355231CCE9BC}"/>
            </c:ext>
          </c:extLst>
        </c:ser>
        <c:ser>
          <c:idx val="5"/>
          <c:order val="5"/>
          <c:tx>
            <c:strRef>
              <c:f>'8-128KRR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(nvme0n1)'!$A$2:$A$6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(nvme0n1)'!$G$2:$G$6</c:f>
              <c:numCache>
                <c:formatCode>General</c:formatCode>
                <c:ptCount val="5"/>
                <c:pt idx="0">
                  <c:v>22200</c:v>
                </c:pt>
                <c:pt idx="1">
                  <c:v>15200</c:v>
                </c:pt>
                <c:pt idx="2">
                  <c:v>13500</c:v>
                </c:pt>
                <c:pt idx="3">
                  <c:v>10600</c:v>
                </c:pt>
                <c:pt idx="4">
                  <c:v>7608.8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B943-BA9E-355231CCE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2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5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(nvme0n1)'!$G$14:$G$18</c:f>
              <c:numCache>
                <c:formatCode>0.0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30-8A4A-B493-2CF003762060}"/>
            </c:ext>
          </c:extLst>
        </c:ser>
        <c:ser>
          <c:idx val="0"/>
          <c:order val="1"/>
          <c:tx>
            <c:strRef>
              <c:f>'8-128KRR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(nvme0n1)'!$B$14:$B$18</c:f>
              <c:numCache>
                <c:formatCode>0.0</c:formatCode>
                <c:ptCount val="5"/>
                <c:pt idx="0">
                  <c:v>104.5045045045045</c:v>
                </c:pt>
                <c:pt idx="1">
                  <c:v>103.28947368421053</c:v>
                </c:pt>
                <c:pt idx="2">
                  <c:v>102.22222222222221</c:v>
                </c:pt>
                <c:pt idx="3">
                  <c:v>102.8301886792453</c:v>
                </c:pt>
                <c:pt idx="4">
                  <c:v>101.62706340027337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30-8A4A-B493-2CF003762060}"/>
            </c:ext>
          </c:extLst>
        </c:ser>
        <c:ser>
          <c:idx val="1"/>
          <c:order val="2"/>
          <c:tx>
            <c:strRef>
              <c:f>'8-128KRR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(nvme0n1)'!$C$14:$C$18</c:f>
              <c:numCache>
                <c:formatCode>0.0</c:formatCode>
                <c:ptCount val="5"/>
                <c:pt idx="0">
                  <c:v>103.60360360360362</c:v>
                </c:pt>
                <c:pt idx="1">
                  <c:v>102.63157894736842</c:v>
                </c:pt>
                <c:pt idx="2">
                  <c:v>102.07407407407408</c:v>
                </c:pt>
                <c:pt idx="3">
                  <c:v>101.88679245283019</c:v>
                </c:pt>
                <c:pt idx="4">
                  <c:v>101.29323940700242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30-8A4A-B493-2CF003762060}"/>
            </c:ext>
          </c:extLst>
        </c:ser>
        <c:ser>
          <c:idx val="2"/>
          <c:order val="3"/>
          <c:tx>
            <c:strRef>
              <c:f>'8-128KRR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(nvme0n1)'!$D$14:$D$18</c:f>
              <c:numCache>
                <c:formatCode>0.0</c:formatCode>
                <c:ptCount val="5"/>
                <c:pt idx="0">
                  <c:v>102.25225225225225</c:v>
                </c:pt>
                <c:pt idx="1">
                  <c:v>100.13157894736841</c:v>
                </c:pt>
                <c:pt idx="2">
                  <c:v>100</c:v>
                </c:pt>
                <c:pt idx="3">
                  <c:v>100.9433962264151</c:v>
                </c:pt>
                <c:pt idx="4">
                  <c:v>100.08411313216274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30-8A4A-B493-2CF003762060}"/>
            </c:ext>
          </c:extLst>
        </c:ser>
        <c:ser>
          <c:idx val="3"/>
          <c:order val="4"/>
          <c:tx>
            <c:strRef>
              <c:f>'8-128KRR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(nvme0n1)'!$E$14:$E$18</c:f>
              <c:numCache>
                <c:formatCode>0.0</c:formatCode>
                <c:ptCount val="5"/>
                <c:pt idx="0">
                  <c:v>103.6936936936937</c:v>
                </c:pt>
                <c:pt idx="1">
                  <c:v>102.36842105263158</c:v>
                </c:pt>
                <c:pt idx="2">
                  <c:v>101.62962962962962</c:v>
                </c:pt>
                <c:pt idx="3">
                  <c:v>101.88679245283019</c:v>
                </c:pt>
                <c:pt idx="4">
                  <c:v>101.01461465671329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30-8A4A-B493-2CF003762060}"/>
            </c:ext>
          </c:extLst>
        </c:ser>
        <c:ser>
          <c:idx val="4"/>
          <c:order val="5"/>
          <c:tx>
            <c:strRef>
              <c:f>'8-128KRR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P41 (nvme0n1)'!$A$14:$A$18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(nvme0n1)'!$F$14:$F$18</c:f>
              <c:numCache>
                <c:formatCode>0.0</c:formatCode>
                <c:ptCount val="5"/>
                <c:pt idx="0">
                  <c:v>104.68468468468468</c:v>
                </c:pt>
                <c:pt idx="1">
                  <c:v>103.28947368421053</c:v>
                </c:pt>
                <c:pt idx="2">
                  <c:v>102.37037037037038</c:v>
                </c:pt>
                <c:pt idx="3">
                  <c:v>102.8301886792453</c:v>
                </c:pt>
                <c:pt idx="4">
                  <c:v>98.995899484807055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530-8A4A-B493-2CF003762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6"/>
          <c:min val="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5"/>
          <c:order val="0"/>
          <c:tx>
            <c:strRef>
              <c:f>'8-128KRR P41 (nvme0n1)'!$G$1</c:f>
              <c:strCache>
                <c:ptCount val="1"/>
                <c:pt idx="0">
                  <c:v>INT</c:v>
                </c:pt>
              </c:strCache>
            </c:strRef>
          </c:tx>
          <c:spPr>
            <a:ln w="2540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star"/>
            <c:size val="8"/>
            <c:spPr>
              <a:noFill/>
              <a:ln w="1587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(nvme0n1)'!$G$26:$G$30</c:f>
              <c:numCache>
                <c:formatCode>General</c:formatCode>
                <c:ptCount val="5"/>
                <c:pt idx="0">
                  <c:v>8.58</c:v>
                </c:pt>
                <c:pt idx="1">
                  <c:v>6.23</c:v>
                </c:pt>
                <c:pt idx="2">
                  <c:v>6.12</c:v>
                </c:pt>
                <c:pt idx="3">
                  <c:v>5.76</c:v>
                </c:pt>
                <c:pt idx="4">
                  <c:v>5.36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D9-E54B-9D75-08BAE6DFF1FA}"/>
            </c:ext>
          </c:extLst>
        </c:ser>
        <c:ser>
          <c:idx val="0"/>
          <c:order val="1"/>
          <c:tx>
            <c:strRef>
              <c:f>'8-128KRR P41 (nvme0n1)'!$B$1</c:f>
              <c:strCache>
                <c:ptCount val="1"/>
                <c:pt idx="0">
                  <c:v>CP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plus"/>
            <c:size val="7"/>
            <c:spPr>
              <a:noFill/>
              <a:ln w="25400">
                <a:solidFill>
                  <a:schemeClr val="accent2"/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(nvme0n1)'!$B$26:$B$30</c:f>
              <c:numCache>
                <c:formatCode>General</c:formatCode>
                <c:ptCount val="5"/>
                <c:pt idx="0">
                  <c:v>99.93</c:v>
                </c:pt>
                <c:pt idx="1">
                  <c:v>99.93</c:v>
                </c:pt>
                <c:pt idx="2">
                  <c:v>99.93</c:v>
                </c:pt>
                <c:pt idx="3">
                  <c:v>99.93</c:v>
                </c:pt>
                <c:pt idx="4">
                  <c:v>99.93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D9-E54B-9D75-08BAE6DFF1FA}"/>
            </c:ext>
          </c:extLst>
        </c:ser>
        <c:ser>
          <c:idx val="1"/>
          <c:order val="2"/>
          <c:tx>
            <c:strRef>
              <c:f>'8-128KRR P41 (nvme0n1)'!$C$1</c:f>
              <c:strCache>
                <c:ptCount val="1"/>
                <c:pt idx="0">
                  <c:v>LHP</c:v>
                </c:pt>
              </c:strCache>
            </c:strRef>
          </c:tx>
          <c:spPr>
            <a:ln w="2540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(nvme0n1)'!$C$26:$C$30</c:f>
              <c:numCache>
                <c:formatCode>General</c:formatCode>
                <c:ptCount val="5"/>
                <c:pt idx="0">
                  <c:v>52.18</c:v>
                </c:pt>
                <c:pt idx="1">
                  <c:v>51.66</c:v>
                </c:pt>
                <c:pt idx="2">
                  <c:v>51.72</c:v>
                </c:pt>
                <c:pt idx="3">
                  <c:v>51.75</c:v>
                </c:pt>
                <c:pt idx="4">
                  <c:v>51.77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D9-E54B-9D75-08BAE6DFF1FA}"/>
            </c:ext>
          </c:extLst>
        </c:ser>
        <c:ser>
          <c:idx val="2"/>
          <c:order val="3"/>
          <c:tx>
            <c:strRef>
              <c:f>'8-128KRR P41 (nvme0n1)'!$D$1</c:f>
              <c:strCache>
                <c:ptCount val="1"/>
                <c:pt idx="0">
                  <c:v>EHP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(nvme0n1)'!$D$26:$D$30</c:f>
              <c:numCache>
                <c:formatCode>General</c:formatCode>
                <c:ptCount val="5"/>
                <c:pt idx="0">
                  <c:v>15.43</c:v>
                </c:pt>
                <c:pt idx="1">
                  <c:v>12.22</c:v>
                </c:pt>
                <c:pt idx="2">
                  <c:v>14.94</c:v>
                </c:pt>
                <c:pt idx="3">
                  <c:v>15.34</c:v>
                </c:pt>
                <c:pt idx="4">
                  <c:v>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D9-E54B-9D75-08BAE6DFF1FA}"/>
            </c:ext>
          </c:extLst>
        </c:ser>
        <c:ser>
          <c:idx val="3"/>
          <c:order val="4"/>
          <c:tx>
            <c:strRef>
              <c:f>'8-128KRR P41 (nvme0n1)'!$E$1</c:f>
              <c:strCache>
                <c:ptCount val="1"/>
                <c:pt idx="0">
                  <c:v>PAS</c:v>
                </c:pt>
              </c:strCache>
            </c:strRef>
          </c:tx>
          <c:spPr>
            <a:ln w="2540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(nvme0n1)'!$E$26:$E$30</c:f>
              <c:numCache>
                <c:formatCode>General</c:formatCode>
                <c:ptCount val="5"/>
                <c:pt idx="0">
                  <c:v>12.24</c:v>
                </c:pt>
                <c:pt idx="1">
                  <c:v>8.7799999999999994</c:v>
                </c:pt>
                <c:pt idx="2">
                  <c:v>8.8699999999999992</c:v>
                </c:pt>
                <c:pt idx="3">
                  <c:v>8.5399999999999991</c:v>
                </c:pt>
                <c:pt idx="4">
                  <c:v>8.25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D9-E54B-9D75-08BAE6DFF1FA}"/>
            </c:ext>
          </c:extLst>
        </c:ser>
        <c:ser>
          <c:idx val="4"/>
          <c:order val="5"/>
          <c:tx>
            <c:strRef>
              <c:f>'8-128KRR P41 (nvme0n1)'!$F$1</c:f>
              <c:strCache>
                <c:ptCount val="1"/>
                <c:pt idx="0">
                  <c:v>DPAS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x"/>
            <c:size val="8"/>
            <c:spPr>
              <a:noFill/>
              <a:ln w="19050">
                <a:solidFill>
                  <a:schemeClr val="tx1"/>
                </a:solidFill>
              </a:ln>
              <a:effectLst/>
            </c:spPr>
          </c:marker>
          <c:cat>
            <c:numRef>
              <c:f>'8-128KRR P41 (nvme0n1)'!$A$26:$A$30</c:f>
              <c:numCache>
                <c:formatCode>General</c:formatCode>
                <c:ptCount val="5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</c:numCache>
            </c:numRef>
          </c:cat>
          <c:val>
            <c:numRef>
              <c:f>'8-128KRR P41 (nvme0n1)'!$F$26:$F$30</c:f>
              <c:numCache>
                <c:formatCode>General</c:formatCode>
                <c:ptCount val="5"/>
                <c:pt idx="0">
                  <c:v>91.91</c:v>
                </c:pt>
                <c:pt idx="1">
                  <c:v>91.59</c:v>
                </c:pt>
                <c:pt idx="2">
                  <c:v>91.62</c:v>
                </c:pt>
                <c:pt idx="3">
                  <c:v>91.61</c:v>
                </c:pt>
                <c:pt idx="4">
                  <c:v>89.19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D9-E54B-9D75-08BAE6DFF1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2997504"/>
        <c:axId val="1262537760"/>
      </c:lineChart>
      <c:catAx>
        <c:axId val="126299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537760"/>
        <c:crosses val="autoZero"/>
        <c:auto val="1"/>
        <c:lblAlgn val="ctr"/>
        <c:lblOffset val="100"/>
        <c:noMultiLvlLbl val="0"/>
      </c:catAx>
      <c:valAx>
        <c:axId val="1262537760"/>
        <c:scaling>
          <c:orientation val="minMax"/>
          <c:max val="10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26299750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'Optane (nvme1n1)'!$B$10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(nvme1n1)'!$AD$7,'Optane (nvme1n1)'!$AD$13,'Optane (nvme1n1)'!$AD$19,'Optane (nvme1n1)'!$AD$25,'Optane (nvme1n1)'!$AD$31,'Optane (nvme1n1)'!$AD$37)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('Optane (nvme1n1)'!$AD$7,'Optane (nvme1n1)'!$AD$13,'Optane (nvme1n1)'!$AD$19,'Optane (nvme1n1)'!$AD$25,'Optane (nvme1n1)'!$AD$31,'Optane (nvme1n1)'!$AD$37)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(nvme1n1)'!$B$11:$B$17</c:f>
              <c:numCache>
                <c:formatCode>0.0_);[Red]\(0.0\)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49-C840-AAEE-898A3301A234}"/>
            </c:ext>
          </c:extLst>
        </c:ser>
        <c:ser>
          <c:idx val="1"/>
          <c:order val="1"/>
          <c:tx>
            <c:strRef>
              <c:f>'Optane (nvme1n1)'!$C$10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(nvme1n1)'!$AD$2,'Optane (nvme1n1)'!$AD$8,'Optane (nvme1n1)'!$AD$14,'Optane (nvme1n1)'!$AD$20,'Optane (nvme1n1)'!$AD$26,'Optane (nvme1n1)'!$AD$32)</c:f>
                <c:numCache>
                  <c:formatCode>General</c:formatCode>
                  <c:ptCount val="6"/>
                  <c:pt idx="0">
                    <c:v>0.67649308458391377</c:v>
                  </c:pt>
                  <c:pt idx="1">
                    <c:v>1.2309427863309419</c:v>
                  </c:pt>
                  <c:pt idx="2">
                    <c:v>1.4228790009029486</c:v>
                  </c:pt>
                  <c:pt idx="3">
                    <c:v>0.72664489968881762</c:v>
                  </c:pt>
                  <c:pt idx="4">
                    <c:v>1.0348167222418199</c:v>
                  </c:pt>
                  <c:pt idx="5">
                    <c:v>0.84913631007256773</c:v>
                  </c:pt>
                </c:numCache>
              </c:numRef>
            </c:plus>
            <c:minus>
              <c:numRef>
                <c:f>('Optane (nvme1n1)'!$AD$2,'Optane (nvme1n1)'!$AD$8,'Optane (nvme1n1)'!$AD$14,'Optane (nvme1n1)'!$AD$20,'Optane (nvme1n1)'!$AD$26,'Optane (nvme1n1)'!$AD$32)</c:f>
                <c:numCache>
                  <c:formatCode>General</c:formatCode>
                  <c:ptCount val="6"/>
                  <c:pt idx="0">
                    <c:v>0.67649308458391377</c:v>
                  </c:pt>
                  <c:pt idx="1">
                    <c:v>1.2309427863309419</c:v>
                  </c:pt>
                  <c:pt idx="2">
                    <c:v>1.4228790009029486</c:v>
                  </c:pt>
                  <c:pt idx="3">
                    <c:v>0.72664489968881762</c:v>
                  </c:pt>
                  <c:pt idx="4">
                    <c:v>1.0348167222418199</c:v>
                  </c:pt>
                  <c:pt idx="5">
                    <c:v>0.84913631007256773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(nvme1n1)'!$C$11:$C$17</c:f>
              <c:numCache>
                <c:formatCode>0.0_);[Red]\(0.0\)</c:formatCode>
                <c:ptCount val="7"/>
                <c:pt idx="0">
                  <c:v>104.39973515514491</c:v>
                </c:pt>
                <c:pt idx="1">
                  <c:v>112.19554731170331</c:v>
                </c:pt>
                <c:pt idx="2">
                  <c:v>113.87729868235866</c:v>
                </c:pt>
                <c:pt idx="3">
                  <c:v>105.53163086722761</c:v>
                </c:pt>
                <c:pt idx="4">
                  <c:v>104.22554289515469</c:v>
                </c:pt>
                <c:pt idx="5">
                  <c:v>104.03037268100476</c:v>
                </c:pt>
                <c:pt idx="6">
                  <c:v>107.3012688296475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49-C840-AAEE-898A3301A234}"/>
            </c:ext>
          </c:extLst>
        </c:ser>
        <c:ser>
          <c:idx val="2"/>
          <c:order val="2"/>
          <c:tx>
            <c:strRef>
              <c:f>'Optane (nvme1n1)'!$D$10</c:f>
              <c:strCache>
                <c:ptCount val="1"/>
                <c:pt idx="0">
                  <c:v>LHP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(nvme1n1)'!$AD$3,'Optane (nvme1n1)'!$AD$9,'Optane (nvme1n1)'!$AD$15,'Optane (nvme1n1)'!$AD$21,'Optane (nvme1n1)'!$AD$27,'Optane (nvme1n1)'!$AD$33)</c:f>
                <c:numCache>
                  <c:formatCode>General</c:formatCode>
                  <c:ptCount val="6"/>
                  <c:pt idx="0">
                    <c:v>0.55839678416381011</c:v>
                  </c:pt>
                  <c:pt idx="1">
                    <c:v>0.9989183605770704</c:v>
                  </c:pt>
                  <c:pt idx="2">
                    <c:v>1.3320752729784371</c:v>
                  </c:pt>
                  <c:pt idx="3">
                    <c:v>0.80830866879182761</c:v>
                  </c:pt>
                  <c:pt idx="4">
                    <c:v>0.3329439064972366</c:v>
                  </c:pt>
                  <c:pt idx="5">
                    <c:v>0.55056314177643317</c:v>
                  </c:pt>
                </c:numCache>
              </c:numRef>
            </c:plus>
            <c:minus>
              <c:numRef>
                <c:f>('Optane (nvme1n1)'!$AD$3,'Optane (nvme1n1)'!$AD$9,'Optane (nvme1n1)'!$AD$15,'Optane (nvme1n1)'!$AD$21,'Optane (nvme1n1)'!$AD$27,'Optane (nvme1n1)'!$AD$33)</c:f>
                <c:numCache>
                  <c:formatCode>General</c:formatCode>
                  <c:ptCount val="6"/>
                  <c:pt idx="0">
                    <c:v>0.55839678416381011</c:v>
                  </c:pt>
                  <c:pt idx="1">
                    <c:v>0.9989183605770704</c:v>
                  </c:pt>
                  <c:pt idx="2">
                    <c:v>1.3320752729784371</c:v>
                  </c:pt>
                  <c:pt idx="3">
                    <c:v>0.80830866879182761</c:v>
                  </c:pt>
                  <c:pt idx="4">
                    <c:v>0.3329439064972366</c:v>
                  </c:pt>
                  <c:pt idx="5">
                    <c:v>0.55056314177643317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(nvme1n1)'!$D$11:$D$17</c:f>
              <c:numCache>
                <c:formatCode>0.0_);[Red]\(0.0\)</c:formatCode>
                <c:ptCount val="7"/>
                <c:pt idx="0">
                  <c:v>89.838685406446558</c:v>
                </c:pt>
                <c:pt idx="1">
                  <c:v>95.379668039335272</c:v>
                </c:pt>
                <c:pt idx="2">
                  <c:v>97.23654249639651</c:v>
                </c:pt>
                <c:pt idx="3">
                  <c:v>91.304021064470518</c:v>
                </c:pt>
                <c:pt idx="4">
                  <c:v>96.164193596841315</c:v>
                </c:pt>
                <c:pt idx="5">
                  <c:v>90.64849778361517</c:v>
                </c:pt>
                <c:pt idx="6">
                  <c:v>93.38320361473086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49-C840-AAEE-898A3301A234}"/>
            </c:ext>
          </c:extLst>
        </c:ser>
        <c:ser>
          <c:idx val="3"/>
          <c:order val="3"/>
          <c:tx>
            <c:strRef>
              <c:f>'Optane (nvme1n1)'!$E$10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(nvme1n1)'!$AD$4,'Optane (nvme1n1)'!$AD$10,'Optane (nvme1n1)'!$AD$16,'Optane (nvme1n1)'!$AD$22,'Optane (nvme1n1)'!$AD$28,'Optane (nvme1n1)'!$AD$34)</c:f>
                <c:numCache>
                  <c:formatCode>General</c:formatCode>
                  <c:ptCount val="6"/>
                  <c:pt idx="0">
                    <c:v>1.5566478296100339</c:v>
                  </c:pt>
                  <c:pt idx="1">
                    <c:v>1.3418098224754749</c:v>
                  </c:pt>
                  <c:pt idx="2">
                    <c:v>1.8653678870659807</c:v>
                  </c:pt>
                  <c:pt idx="3">
                    <c:v>1.9944300137223165</c:v>
                  </c:pt>
                  <c:pt idx="4">
                    <c:v>0.40580899840791818</c:v>
                  </c:pt>
                  <c:pt idx="5">
                    <c:v>1.0300852248332217</c:v>
                  </c:pt>
                </c:numCache>
              </c:numRef>
            </c:plus>
            <c:minus>
              <c:numRef>
                <c:f>('Optane (nvme1n1)'!$AD$4,'Optane (nvme1n1)'!$AD$10,'Optane (nvme1n1)'!$AD$16,'Optane (nvme1n1)'!$AD$22,'Optane (nvme1n1)'!$AD$28,'Optane (nvme1n1)'!$AD$34)</c:f>
                <c:numCache>
                  <c:formatCode>General</c:formatCode>
                  <c:ptCount val="6"/>
                  <c:pt idx="0">
                    <c:v>1.5566478296100339</c:v>
                  </c:pt>
                  <c:pt idx="1">
                    <c:v>1.3418098224754749</c:v>
                  </c:pt>
                  <c:pt idx="2">
                    <c:v>1.8653678870659807</c:v>
                  </c:pt>
                  <c:pt idx="3">
                    <c:v>1.9944300137223165</c:v>
                  </c:pt>
                  <c:pt idx="4">
                    <c:v>0.40580899840791818</c:v>
                  </c:pt>
                  <c:pt idx="5">
                    <c:v>1.0300852248332217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(nvme1n1)'!$E$11:$E$17</c:f>
              <c:numCache>
                <c:formatCode>0.0_);[Red]\(0.0\)</c:formatCode>
                <c:ptCount val="7"/>
                <c:pt idx="0">
                  <c:v>99.353387305504555</c:v>
                </c:pt>
                <c:pt idx="1">
                  <c:v>98.342313643855505</c:v>
                </c:pt>
                <c:pt idx="2">
                  <c:v>98.123348985301789</c:v>
                </c:pt>
                <c:pt idx="3">
                  <c:v>98.566848685835623</c:v>
                </c:pt>
                <c:pt idx="4">
                  <c:v>93.64713424316551</c:v>
                </c:pt>
                <c:pt idx="5">
                  <c:v>98.946970940732228</c:v>
                </c:pt>
                <c:pt idx="6">
                  <c:v>97.810892461931843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49-C840-AAEE-898A3301A234}"/>
            </c:ext>
          </c:extLst>
        </c:ser>
        <c:ser>
          <c:idx val="4"/>
          <c:order val="4"/>
          <c:tx>
            <c:strRef>
              <c:f>'Optane (nvme1n1)'!$F$10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(nvme1n1)'!$AD$5,'Optane (nvme1n1)'!$AD$11,'Optane (nvme1n1)'!$AD$17,'Optane (nvme1n1)'!$AD$23,'Optane (nvme1n1)'!$AD$29,'Optane (nvme1n1)'!$AD$35)</c:f>
                <c:numCache>
                  <c:formatCode>General</c:formatCode>
                  <c:ptCount val="6"/>
                  <c:pt idx="0">
                    <c:v>0.44067859252066088</c:v>
                  </c:pt>
                  <c:pt idx="1">
                    <c:v>1.5141130419121465</c:v>
                  </c:pt>
                  <c:pt idx="2">
                    <c:v>1.2261765995592087</c:v>
                  </c:pt>
                  <c:pt idx="3">
                    <c:v>1.268918903770736</c:v>
                  </c:pt>
                  <c:pt idx="4">
                    <c:v>0.78956988654272164</c:v>
                  </c:pt>
                  <c:pt idx="5">
                    <c:v>0.73408782860619715</c:v>
                  </c:pt>
                </c:numCache>
              </c:numRef>
            </c:plus>
            <c:minus>
              <c:numRef>
                <c:f>('Optane (nvme1n1)'!$AD$5,'Optane (nvme1n1)'!$AD$11,'Optane (nvme1n1)'!$AD$17,'Optane (nvme1n1)'!$AD$23,'Optane (nvme1n1)'!$AD$29,'Optane (nvme1n1)'!$AD$35)</c:f>
                <c:numCache>
                  <c:formatCode>General</c:formatCode>
                  <c:ptCount val="6"/>
                  <c:pt idx="0">
                    <c:v>0.44067859252066088</c:v>
                  </c:pt>
                  <c:pt idx="1">
                    <c:v>1.5141130419121465</c:v>
                  </c:pt>
                  <c:pt idx="2">
                    <c:v>1.2261765995592087</c:v>
                  </c:pt>
                  <c:pt idx="3">
                    <c:v>1.268918903770736</c:v>
                  </c:pt>
                  <c:pt idx="4">
                    <c:v>0.78956988654272164</c:v>
                  </c:pt>
                  <c:pt idx="5">
                    <c:v>0.73408782860619715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(nvme1n1)'!$F$11:$F$17</c:f>
              <c:numCache>
                <c:formatCode>0.0_);[Red]\(0.0\)</c:formatCode>
                <c:ptCount val="7"/>
                <c:pt idx="0">
                  <c:v>104.43991332350197</c:v>
                </c:pt>
                <c:pt idx="1">
                  <c:v>107.03448136816584</c:v>
                </c:pt>
                <c:pt idx="2">
                  <c:v>108.75676116349193</c:v>
                </c:pt>
                <c:pt idx="3">
                  <c:v>104.27270290582477</c:v>
                </c:pt>
                <c:pt idx="4">
                  <c:v>103.65059439509029</c:v>
                </c:pt>
                <c:pt idx="5">
                  <c:v>104.49564931866688</c:v>
                </c:pt>
                <c:pt idx="6">
                  <c:v>105.42602992770688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49-C840-AAEE-898A3301A234}"/>
            </c:ext>
          </c:extLst>
        </c:ser>
        <c:ser>
          <c:idx val="5"/>
          <c:order val="5"/>
          <c:tx>
            <c:strRef>
              <c:f>'Optane (nvme1n1)'!$G$10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(nvme1n1)'!$AD$6,'Optane (nvme1n1)'!$AD$12,'Optane (nvme1n1)'!$AD$18,'Optane (nvme1n1)'!$AD$24,'Optane (nvme1n1)'!$AD$30,'Optane (nvme1n1)'!$AD$36)</c:f>
                <c:numCache>
                  <c:formatCode>General</c:formatCode>
                  <c:ptCount val="6"/>
                  <c:pt idx="0">
                    <c:v>0.45460211501556475</c:v>
                  </c:pt>
                  <c:pt idx="1">
                    <c:v>0.70717636246536475</c:v>
                  </c:pt>
                  <c:pt idx="2">
                    <c:v>1.3887833797175679</c:v>
                  </c:pt>
                  <c:pt idx="3">
                    <c:v>1.2995810643269259</c:v>
                  </c:pt>
                  <c:pt idx="4">
                    <c:v>0.66643774397977273</c:v>
                  </c:pt>
                  <c:pt idx="5">
                    <c:v>0.62850028466323415</c:v>
                  </c:pt>
                </c:numCache>
              </c:numRef>
            </c:plus>
            <c:minus>
              <c:numRef>
                <c:f>('Optane (nvme1n1)'!$AD$6,'Optane (nvme1n1)'!$AD$12,'Optane (nvme1n1)'!$AD$18,'Optane (nvme1n1)'!$AD$24,'Optane (nvme1n1)'!$AD$30,'Optane (nvme1n1)'!$AD$36)</c:f>
                <c:numCache>
                  <c:formatCode>General</c:formatCode>
                  <c:ptCount val="6"/>
                  <c:pt idx="0">
                    <c:v>0.45460211501556475</c:v>
                  </c:pt>
                  <c:pt idx="1">
                    <c:v>0.70717636246536475</c:v>
                  </c:pt>
                  <c:pt idx="2">
                    <c:v>1.3887833797175679</c:v>
                  </c:pt>
                  <c:pt idx="3">
                    <c:v>1.2995810643269259</c:v>
                  </c:pt>
                  <c:pt idx="4">
                    <c:v>0.66643774397977273</c:v>
                  </c:pt>
                  <c:pt idx="5">
                    <c:v>0.62850028466323415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(nvme1n1)'!$G$11:$G$17</c:f>
              <c:numCache>
                <c:formatCode>0.0_);[Red]\(0.0\)</c:formatCode>
                <c:ptCount val="7"/>
                <c:pt idx="0">
                  <c:v>107.19685797694648</c:v>
                </c:pt>
                <c:pt idx="1">
                  <c:v>111.95915260815437</c:v>
                </c:pt>
                <c:pt idx="2">
                  <c:v>113.40207819794399</c:v>
                </c:pt>
                <c:pt idx="3">
                  <c:v>107.27927766945389</c:v>
                </c:pt>
                <c:pt idx="4">
                  <c:v>105.21034504956866</c:v>
                </c:pt>
                <c:pt idx="5">
                  <c:v>107.40600886553932</c:v>
                </c:pt>
                <c:pt idx="6">
                  <c:v>108.70368234857868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49-C840-AAEE-898A3301A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1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'Optane (nvme1n1)'!$B$10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(nvme1n1)'!$AE$7,'Optane (nvme1n1)'!$AE$13,'Optane (nvme1n1)'!$AE$19,'Optane (nvme1n1)'!$AE$25,'Optane (nvme1n1)'!$AE$31,'Optane (nvme1n1)'!$AE$37)</c:f>
                <c:numCache>
                  <c:formatCode>General</c:formatCode>
                  <c:ptCount val="6"/>
                  <c:pt idx="0">
                    <c:v>2.5215573065072303</c:v>
                  </c:pt>
                  <c:pt idx="1">
                    <c:v>2.5434695791379154</c:v>
                  </c:pt>
                  <c:pt idx="2">
                    <c:v>2.365292925833923</c:v>
                  </c:pt>
                  <c:pt idx="3">
                    <c:v>2.3065906929925806</c:v>
                  </c:pt>
                  <c:pt idx="4">
                    <c:v>1.6205994261383643</c:v>
                  </c:pt>
                  <c:pt idx="5">
                    <c:v>2.3865021474953685</c:v>
                  </c:pt>
                </c:numCache>
              </c:numRef>
            </c:plus>
            <c:minus>
              <c:numRef>
                <c:f>('Optane (nvme1n1)'!$AE$7,'Optane (nvme1n1)'!$AE$13,'Optane (nvme1n1)'!$AE$19,'Optane (nvme1n1)'!$AE$25,'Optane (nvme1n1)'!$AE$31,'Optane (nvme1n1)'!$AE$37)</c:f>
                <c:numCache>
                  <c:formatCode>General</c:formatCode>
                  <c:ptCount val="6"/>
                  <c:pt idx="0">
                    <c:v>2.5215573065072303</c:v>
                  </c:pt>
                  <c:pt idx="1">
                    <c:v>2.5434695791379154</c:v>
                  </c:pt>
                  <c:pt idx="2">
                    <c:v>2.365292925833923</c:v>
                  </c:pt>
                  <c:pt idx="3">
                    <c:v>2.3065906929925806</c:v>
                  </c:pt>
                  <c:pt idx="4">
                    <c:v>1.6205994261383643</c:v>
                  </c:pt>
                  <c:pt idx="5">
                    <c:v>2.3865021474953685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(nvme1n1)'!$B$28:$B$34</c:f>
              <c:numCache>
                <c:formatCode>General</c:formatCode>
                <c:ptCount val="7"/>
                <c:pt idx="0">
                  <c:v>60.483000000000004</c:v>
                </c:pt>
                <c:pt idx="1">
                  <c:v>55.620000000000005</c:v>
                </c:pt>
                <c:pt idx="2">
                  <c:v>50.777000000000001</c:v>
                </c:pt>
                <c:pt idx="3">
                  <c:v>65.262000000000015</c:v>
                </c:pt>
                <c:pt idx="4">
                  <c:v>62.721000000000004</c:v>
                </c:pt>
                <c:pt idx="5">
                  <c:v>64.551000000000016</c:v>
                </c:pt>
                <c:pt idx="6" formatCode="0.0_);[Red]\(0.0\)">
                  <c:v>59.902333333333331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A-2549-972F-9B9E1A802C6F}"/>
            </c:ext>
          </c:extLst>
        </c:ser>
        <c:ser>
          <c:idx val="1"/>
          <c:order val="1"/>
          <c:tx>
            <c:strRef>
              <c:f>'Optane (nvme1n1)'!$C$10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(nvme1n1)'!$AE$2,'Optane (nvme1n1)'!$AE$8,'Optane (nvme1n1)'!$AE$14,'Optane (nvme1n1)'!$AE$20,'Optane (nvme1n1)'!$AE$26,'Optane (nvme1n1)'!$AE$32)</c:f>
                <c:numCache>
                  <c:formatCode>General</c:formatCode>
                  <c:ptCount val="6"/>
                  <c:pt idx="0">
                    <c:v>3.4735016553904248</c:v>
                  </c:pt>
                  <c:pt idx="1">
                    <c:v>3.2953202613706614</c:v>
                  </c:pt>
                  <c:pt idx="2">
                    <c:v>3.1209146295597412</c:v>
                  </c:pt>
                  <c:pt idx="3">
                    <c:v>2.0916451360113628</c:v>
                  </c:pt>
                  <c:pt idx="4">
                    <c:v>4.4967661991702474</c:v>
                  </c:pt>
                  <c:pt idx="5">
                    <c:v>0.87128497060376286</c:v>
                  </c:pt>
                </c:numCache>
              </c:numRef>
            </c:plus>
            <c:minus>
              <c:numRef>
                <c:f>('Optane (nvme1n1)'!$AE$2,'Optane (nvme1n1)'!$AE$8,'Optane (nvme1n1)'!$AE$14,'Optane (nvme1n1)'!$AE$20,'Optane (nvme1n1)'!$AE$26,'Optane (nvme1n1)'!$AE$32)</c:f>
                <c:numCache>
                  <c:formatCode>General</c:formatCode>
                  <c:ptCount val="6"/>
                  <c:pt idx="0">
                    <c:v>3.4735016553904248</c:v>
                  </c:pt>
                  <c:pt idx="1">
                    <c:v>3.2953202613706614</c:v>
                  </c:pt>
                  <c:pt idx="2">
                    <c:v>3.1209146295597412</c:v>
                  </c:pt>
                  <c:pt idx="3">
                    <c:v>2.0916451360113628</c:v>
                  </c:pt>
                  <c:pt idx="4">
                    <c:v>4.4967661991702474</c:v>
                  </c:pt>
                  <c:pt idx="5">
                    <c:v>0.87128497060376286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(nvme1n1)'!$C$28:$C$34</c:f>
              <c:numCache>
                <c:formatCode>General</c:formatCode>
                <c:ptCount val="7"/>
                <c:pt idx="0">
                  <c:v>84.07050000000001</c:v>
                </c:pt>
                <c:pt idx="1">
                  <c:v>85.542999999999992</c:v>
                </c:pt>
                <c:pt idx="2">
                  <c:v>91.030999999999992</c:v>
                </c:pt>
                <c:pt idx="3">
                  <c:v>86.792000000000002</c:v>
                </c:pt>
                <c:pt idx="4">
                  <c:v>87.042500000000004</c:v>
                </c:pt>
                <c:pt idx="5">
                  <c:v>83.02000000000001</c:v>
                </c:pt>
                <c:pt idx="6" formatCode="0.0_);[Red]\(0.0\)">
                  <c:v>86.249833333333342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A-2549-972F-9B9E1A802C6F}"/>
            </c:ext>
          </c:extLst>
        </c:ser>
        <c:ser>
          <c:idx val="2"/>
          <c:order val="2"/>
          <c:tx>
            <c:strRef>
              <c:f>'Optane (nvme1n1)'!$D$10</c:f>
              <c:strCache>
                <c:ptCount val="1"/>
                <c:pt idx="0">
                  <c:v>LHP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(nvme1n1)'!$AE$3,'Optane (nvme1n1)'!$AE$9,'Optane (nvme1n1)'!$AE$15,'Optane (nvme1n1)'!$AE$21,'Optane (nvme1n1)'!$AE$27,'Optane (nvme1n1)'!$AE$33)</c:f>
                <c:numCache>
                  <c:formatCode>General</c:formatCode>
                  <c:ptCount val="6"/>
                  <c:pt idx="0">
                    <c:v>2.2354897394083482</c:v>
                  </c:pt>
                  <c:pt idx="1">
                    <c:v>3.4136051324076715</c:v>
                  </c:pt>
                  <c:pt idx="2">
                    <c:v>2.1349080776464371</c:v>
                  </c:pt>
                  <c:pt idx="3">
                    <c:v>3.1239811339059029</c:v>
                  </c:pt>
                  <c:pt idx="4">
                    <c:v>2.6426931102570359</c:v>
                  </c:pt>
                  <c:pt idx="5">
                    <c:v>0.38825330005036218</c:v>
                  </c:pt>
                </c:numCache>
              </c:numRef>
            </c:plus>
            <c:minus>
              <c:numRef>
                <c:f>('Optane (nvme1n1)'!$AE$3,'Optane (nvme1n1)'!$AE$9,'Optane (nvme1n1)'!$AE$15,'Optane (nvme1n1)'!$AE$21,'Optane (nvme1n1)'!$AE$27,'Optane (nvme1n1)'!$AE$33)</c:f>
                <c:numCache>
                  <c:formatCode>General</c:formatCode>
                  <c:ptCount val="6"/>
                  <c:pt idx="0">
                    <c:v>2.2354897394083482</c:v>
                  </c:pt>
                  <c:pt idx="1">
                    <c:v>3.4136051324076715</c:v>
                  </c:pt>
                  <c:pt idx="2">
                    <c:v>2.1349080776464371</c:v>
                  </c:pt>
                  <c:pt idx="3">
                    <c:v>3.1239811339059029</c:v>
                  </c:pt>
                  <c:pt idx="4">
                    <c:v>2.6426931102570359</c:v>
                  </c:pt>
                  <c:pt idx="5">
                    <c:v>0.38825330005036218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(nvme1n1)'!$D$28:$D$34</c:f>
              <c:numCache>
                <c:formatCode>General</c:formatCode>
                <c:ptCount val="7"/>
                <c:pt idx="0">
                  <c:v>63.20150000000001</c:v>
                </c:pt>
                <c:pt idx="1">
                  <c:v>62.4</c:v>
                </c:pt>
                <c:pt idx="2">
                  <c:v>61.753000000000007</c:v>
                </c:pt>
                <c:pt idx="3">
                  <c:v>68.208999999999989</c:v>
                </c:pt>
                <c:pt idx="4">
                  <c:v>67.843499999999992</c:v>
                </c:pt>
                <c:pt idx="5">
                  <c:v>65.357499999999987</c:v>
                </c:pt>
                <c:pt idx="6" formatCode="0.0_);[Red]\(0.0\)">
                  <c:v>64.794083333333333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A-2549-972F-9B9E1A802C6F}"/>
            </c:ext>
          </c:extLst>
        </c:ser>
        <c:ser>
          <c:idx val="3"/>
          <c:order val="3"/>
          <c:tx>
            <c:strRef>
              <c:f>'Optane (nvme1n1)'!$E$10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(nvme1n1)'!$AE$4,'Optane (nvme1n1)'!$AE$10,'Optane (nvme1n1)'!$AE$16,'Optane (nvme1n1)'!$AE$22,'Optane (nvme1n1)'!$AE$28,'Optane (nvme1n1)'!$AE$34)</c:f>
                <c:numCache>
                  <c:formatCode>General</c:formatCode>
                  <c:ptCount val="6"/>
                  <c:pt idx="0">
                    <c:v>3.4465872613354782</c:v>
                  </c:pt>
                  <c:pt idx="1">
                    <c:v>4.3897038624490348</c:v>
                  </c:pt>
                  <c:pt idx="2">
                    <c:v>2.0857392274682844</c:v>
                  </c:pt>
                  <c:pt idx="3">
                    <c:v>2.8709823014083549</c:v>
                  </c:pt>
                  <c:pt idx="4">
                    <c:v>1.7757111251552189</c:v>
                  </c:pt>
                  <c:pt idx="5">
                    <c:v>2.0288623659578278</c:v>
                  </c:pt>
                </c:numCache>
              </c:numRef>
            </c:plus>
            <c:minus>
              <c:numRef>
                <c:f>('Optane (nvme1n1)'!$AE$4,'Optane (nvme1n1)'!$AE$10,'Optane (nvme1n1)'!$AE$16,'Optane (nvme1n1)'!$AE$22,'Optane (nvme1n1)'!$AE$28,'Optane (nvme1n1)'!$AE$34)</c:f>
                <c:numCache>
                  <c:formatCode>General</c:formatCode>
                  <c:ptCount val="6"/>
                  <c:pt idx="0">
                    <c:v>3.4465872613354782</c:v>
                  </c:pt>
                  <c:pt idx="1">
                    <c:v>4.3897038624490348</c:v>
                  </c:pt>
                  <c:pt idx="2">
                    <c:v>2.0857392274682844</c:v>
                  </c:pt>
                  <c:pt idx="3">
                    <c:v>2.8709823014083549</c:v>
                  </c:pt>
                  <c:pt idx="4">
                    <c:v>1.7757111251552189</c:v>
                  </c:pt>
                  <c:pt idx="5">
                    <c:v>2.0288623659578278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(nvme1n1)'!$E$28:$E$34</c:f>
              <c:numCache>
                <c:formatCode>General</c:formatCode>
                <c:ptCount val="7"/>
                <c:pt idx="0">
                  <c:v>80.269499999999994</c:v>
                </c:pt>
                <c:pt idx="1">
                  <c:v>74.88</c:v>
                </c:pt>
                <c:pt idx="2">
                  <c:v>71.726500000000001</c:v>
                </c:pt>
                <c:pt idx="3">
                  <c:v>79.350999999999999</c:v>
                </c:pt>
                <c:pt idx="4">
                  <c:v>68.284999999999997</c:v>
                </c:pt>
                <c:pt idx="5">
                  <c:v>82.878</c:v>
                </c:pt>
                <c:pt idx="6" formatCode="0.0_);[Red]\(0.0\)">
                  <c:v>76.231666666666655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6A-2549-972F-9B9E1A802C6F}"/>
            </c:ext>
          </c:extLst>
        </c:ser>
        <c:ser>
          <c:idx val="4"/>
          <c:order val="4"/>
          <c:tx>
            <c:strRef>
              <c:f>'Optane (nvme1n1)'!$F$10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(nvme1n1)'!$AE$5,'Optane (nvme1n1)'!$AE$11,'Optane (nvme1n1)'!$AE$17,'Optane (nvme1n1)'!$AE$23,'Optane (nvme1n1)'!$AE$29,'Optane (nvme1n1)'!$AE$35)</c:f>
                <c:numCache>
                  <c:formatCode>General</c:formatCode>
                  <c:ptCount val="6"/>
                  <c:pt idx="0">
                    <c:v>1.7027404382347882</c:v>
                  </c:pt>
                  <c:pt idx="1">
                    <c:v>3.207261292754306</c:v>
                  </c:pt>
                  <c:pt idx="2">
                    <c:v>3.7674047765006664</c:v>
                  </c:pt>
                  <c:pt idx="3">
                    <c:v>3.7362326446569138</c:v>
                  </c:pt>
                  <c:pt idx="4">
                    <c:v>3.8667599485874442</c:v>
                  </c:pt>
                  <c:pt idx="5">
                    <c:v>2.6085175387564492</c:v>
                  </c:pt>
                </c:numCache>
              </c:numRef>
            </c:plus>
            <c:minus>
              <c:numRef>
                <c:f>('Optane (nvme1n1)'!$AE$5,'Optane (nvme1n1)'!$AE$11,'Optane (nvme1n1)'!$AE$17,'Optane (nvme1n1)'!$AE$23,'Optane (nvme1n1)'!$AE$29,'Optane (nvme1n1)'!$AE$35)</c:f>
                <c:numCache>
                  <c:formatCode>General</c:formatCode>
                  <c:ptCount val="6"/>
                  <c:pt idx="0">
                    <c:v>1.7027404382347882</c:v>
                  </c:pt>
                  <c:pt idx="1">
                    <c:v>3.207261292754306</c:v>
                  </c:pt>
                  <c:pt idx="2">
                    <c:v>3.7674047765006664</c:v>
                  </c:pt>
                  <c:pt idx="3">
                    <c:v>3.7362326446569138</c:v>
                  </c:pt>
                  <c:pt idx="4">
                    <c:v>3.8667599485874442</c:v>
                  </c:pt>
                  <c:pt idx="5">
                    <c:v>2.6085175387564492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(nvme1n1)'!$F$28:$F$34</c:f>
              <c:numCache>
                <c:formatCode>General</c:formatCode>
                <c:ptCount val="7"/>
                <c:pt idx="0">
                  <c:v>77.429999999999993</c:v>
                </c:pt>
                <c:pt idx="1">
                  <c:v>73.710000000000008</c:v>
                </c:pt>
                <c:pt idx="2">
                  <c:v>71.885500000000008</c:v>
                </c:pt>
                <c:pt idx="3">
                  <c:v>81.075000000000003</c:v>
                </c:pt>
                <c:pt idx="4">
                  <c:v>75.679500000000004</c:v>
                </c:pt>
                <c:pt idx="5">
                  <c:v>80.464500000000015</c:v>
                </c:pt>
                <c:pt idx="6" formatCode="0.0_);[Red]\(0.0\)">
                  <c:v>76.707416666666674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C6A-2549-972F-9B9E1A802C6F}"/>
            </c:ext>
          </c:extLst>
        </c:ser>
        <c:ser>
          <c:idx val="5"/>
          <c:order val="5"/>
          <c:tx>
            <c:strRef>
              <c:f>'Optane (nvme1n1)'!$G$10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('Optane (nvme1n1)'!$AE$6,'Optane (nvme1n1)'!$AE$12,'Optane (nvme1n1)'!$AE$18,'Optane (nvme1n1)'!$AE$24,'Optane (nvme1n1)'!$AE$30,'Optane (nvme1n1)'!$AE$36)</c:f>
                <c:numCache>
                  <c:formatCode>General</c:formatCode>
                  <c:ptCount val="6"/>
                  <c:pt idx="0">
                    <c:v>3.1351530066330087</c:v>
                  </c:pt>
                  <c:pt idx="1">
                    <c:v>4.2806488264047076</c:v>
                  </c:pt>
                  <c:pt idx="2">
                    <c:v>3.6997292975297582</c:v>
                  </c:pt>
                  <c:pt idx="3">
                    <c:v>3.0347484450939248</c:v>
                  </c:pt>
                  <c:pt idx="4">
                    <c:v>3.7333918057176922</c:v>
                  </c:pt>
                  <c:pt idx="5">
                    <c:v>2.6497184991994902</c:v>
                  </c:pt>
                </c:numCache>
              </c:numRef>
            </c:plus>
            <c:minus>
              <c:numRef>
                <c:f>('Optane (nvme1n1)'!$AE$6,'Optane (nvme1n1)'!$AE$12,'Optane (nvme1n1)'!$AE$18,'Optane (nvme1n1)'!$AE$24,'Optane (nvme1n1)'!$AE$30,'Optane (nvme1n1)'!$AE$36)</c:f>
                <c:numCache>
                  <c:formatCode>General</c:formatCode>
                  <c:ptCount val="6"/>
                  <c:pt idx="0">
                    <c:v>3.1351530066330087</c:v>
                  </c:pt>
                  <c:pt idx="1">
                    <c:v>4.2806488264047076</c:v>
                  </c:pt>
                  <c:pt idx="2">
                    <c:v>3.6997292975297582</c:v>
                  </c:pt>
                  <c:pt idx="3">
                    <c:v>3.0347484450939248</c:v>
                  </c:pt>
                  <c:pt idx="4">
                    <c:v>3.7333918057176922</c:v>
                  </c:pt>
                  <c:pt idx="5">
                    <c:v>2.6497184991994902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'Optane (nvme1n1)'!$A$28:$A$34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'Optane (nvme1n1)'!$G$28:$G$34</c:f>
              <c:numCache>
                <c:formatCode>General</c:formatCode>
                <c:ptCount val="7"/>
                <c:pt idx="0">
                  <c:v>82.952500000000001</c:v>
                </c:pt>
                <c:pt idx="1">
                  <c:v>87.605500000000006</c:v>
                </c:pt>
                <c:pt idx="2">
                  <c:v>87.72</c:v>
                </c:pt>
                <c:pt idx="3">
                  <c:v>87.152000000000001</c:v>
                </c:pt>
                <c:pt idx="4">
                  <c:v>83.959000000000003</c:v>
                </c:pt>
                <c:pt idx="5">
                  <c:v>84.171499999999995</c:v>
                </c:pt>
                <c:pt idx="6" formatCode="0.0_);[Red]\(0.0\)">
                  <c:v>85.59341666666667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6A-2549-972F-9B9E1A802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'P41 (nvme0n1)'!$B$10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(nvme0n1)'!$AD$7,'P41 (nvme0n1)'!$AD$13,'P41 (nvme0n1)'!$AD$19,'P41 (nvme0n1)'!$AD$25,'P41 (nvme0n1)'!$AD$31,'P41 (nvme0n1)'!$AD$37)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('P41 (nvme0n1)'!$AD$7,'P41 (nvme0n1)'!$AD$13,'P41 (nvme0n1)'!$AD$19,'P41 (nvme0n1)'!$AD$25,'P41 (nvme0n1)'!$AD$31,'P41 (nvme0n1)'!$AD$37)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(nvme0n1)'!$B$11:$B$17</c:f>
              <c:numCache>
                <c:formatCode>0.0_);[Red]\(0.0\)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6-664D-9A52-E9806BF7944B}"/>
            </c:ext>
          </c:extLst>
        </c:ser>
        <c:ser>
          <c:idx val="1"/>
          <c:order val="1"/>
          <c:tx>
            <c:strRef>
              <c:f>'P41 (nvme0n1)'!$C$10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(nvme0n1)'!$AD$2,'P41 (nvme0n1)'!$AD$8,'P41 (nvme0n1)'!$AD$14,'P41 (nvme0n1)'!$AD$20,'P41 (nvme0n1)'!$AD$26,'P41 (nvme0n1)'!$AD$32)</c:f>
                <c:numCache>
                  <c:formatCode>General</c:formatCode>
                  <c:ptCount val="6"/>
                  <c:pt idx="0">
                    <c:v>0.39769346111683024</c:v>
                  </c:pt>
                  <c:pt idx="1">
                    <c:v>0.33189889970176739</c:v>
                  </c:pt>
                  <c:pt idx="2">
                    <c:v>3.8095577020714981</c:v>
                  </c:pt>
                  <c:pt idx="3">
                    <c:v>0.426523524380442</c:v>
                  </c:pt>
                  <c:pt idx="4">
                    <c:v>1.0891315867969986</c:v>
                  </c:pt>
                  <c:pt idx="5">
                    <c:v>0.16707703276010089</c:v>
                  </c:pt>
                </c:numCache>
              </c:numRef>
            </c:plus>
            <c:minus>
              <c:numRef>
                <c:f>('P41 (nvme0n1)'!$AD$2,'P41 (nvme0n1)'!$AD$8,'P41 (nvme0n1)'!$AD$14,'P41 (nvme0n1)'!$AD$20,'P41 (nvme0n1)'!$AD$26,'P41 (nvme0n1)'!$AD$32)</c:f>
                <c:numCache>
                  <c:formatCode>General</c:formatCode>
                  <c:ptCount val="6"/>
                  <c:pt idx="0">
                    <c:v>0.39769346111683024</c:v>
                  </c:pt>
                  <c:pt idx="1">
                    <c:v>0.33189889970176739</c:v>
                  </c:pt>
                  <c:pt idx="2">
                    <c:v>3.8095577020714981</c:v>
                  </c:pt>
                  <c:pt idx="3">
                    <c:v>0.426523524380442</c:v>
                  </c:pt>
                  <c:pt idx="4">
                    <c:v>1.0891315867969986</c:v>
                  </c:pt>
                  <c:pt idx="5">
                    <c:v>0.16707703276010089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(nvme0n1)'!$C$11:$C$17</c:f>
              <c:numCache>
                <c:formatCode>0.0_);[Red]\(0.0\)</c:formatCode>
                <c:ptCount val="7"/>
                <c:pt idx="0">
                  <c:v>99.903691704322625</c:v>
                </c:pt>
                <c:pt idx="1">
                  <c:v>103.51314453779361</c:v>
                </c:pt>
                <c:pt idx="2">
                  <c:v>102.34006035168346</c:v>
                </c:pt>
                <c:pt idx="3">
                  <c:v>101.49212553167031</c:v>
                </c:pt>
                <c:pt idx="4">
                  <c:v>101.35270344789676</c:v>
                </c:pt>
                <c:pt idx="5">
                  <c:v>99.706530474128556</c:v>
                </c:pt>
                <c:pt idx="6">
                  <c:v>101.37612019900642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B6-664D-9A52-E9806BF7944B}"/>
            </c:ext>
          </c:extLst>
        </c:ser>
        <c:ser>
          <c:idx val="2"/>
          <c:order val="2"/>
          <c:tx>
            <c:strRef>
              <c:f>'P41 (nvme0n1)'!$D$10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(nvme0n1)'!$AD$3,'P41 (nvme0n1)'!$AD$9,'P41 (nvme0n1)'!$AD$15,'P41 (nvme0n1)'!$AD$21,'P41 (nvme0n1)'!$AD$27,'P41 (nvme0n1)'!$AD$33)</c:f>
                <c:numCache>
                  <c:formatCode>General</c:formatCode>
                  <c:ptCount val="6"/>
                  <c:pt idx="0">
                    <c:v>0.361964194041686</c:v>
                  </c:pt>
                  <c:pt idx="1">
                    <c:v>0.95946583312125078</c:v>
                  </c:pt>
                  <c:pt idx="2">
                    <c:v>4.3197290425322983</c:v>
                  </c:pt>
                  <c:pt idx="3">
                    <c:v>0.90060169752471908</c:v>
                  </c:pt>
                  <c:pt idx="4">
                    <c:v>1.1643223633477102</c:v>
                  </c:pt>
                  <c:pt idx="5">
                    <c:v>0.38424393738369411</c:v>
                  </c:pt>
                </c:numCache>
              </c:numRef>
            </c:plus>
            <c:minus>
              <c:numRef>
                <c:f>('P41 (nvme0n1)'!$AD$3,'P41 (nvme0n1)'!$AD$9,'P41 (nvme0n1)'!$AD$15,'P41 (nvme0n1)'!$AD$21,'P41 (nvme0n1)'!$AD$27,'P41 (nvme0n1)'!$AD$33)</c:f>
                <c:numCache>
                  <c:formatCode>General</c:formatCode>
                  <c:ptCount val="6"/>
                  <c:pt idx="0">
                    <c:v>0.361964194041686</c:v>
                  </c:pt>
                  <c:pt idx="1">
                    <c:v>0.95946583312125078</c:v>
                  </c:pt>
                  <c:pt idx="2">
                    <c:v>4.3197290425322983</c:v>
                  </c:pt>
                  <c:pt idx="3">
                    <c:v>0.90060169752471908</c:v>
                  </c:pt>
                  <c:pt idx="4">
                    <c:v>1.1643223633477102</c:v>
                  </c:pt>
                  <c:pt idx="5">
                    <c:v>0.38424393738369411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(nvme0n1)'!$D$11:$D$17</c:f>
              <c:numCache>
                <c:formatCode>0.0_);[Red]\(0.0\)</c:formatCode>
                <c:ptCount val="7"/>
                <c:pt idx="0">
                  <c:v>102.79161053798278</c:v>
                </c:pt>
                <c:pt idx="1">
                  <c:v>103.2229607277702</c:v>
                </c:pt>
                <c:pt idx="2">
                  <c:v>100.25734723742197</c:v>
                </c:pt>
                <c:pt idx="3">
                  <c:v>103.1581791010461</c:v>
                </c:pt>
                <c:pt idx="4">
                  <c:v>102.01607314843892</c:v>
                </c:pt>
                <c:pt idx="5">
                  <c:v>102.3873476150643</c:v>
                </c:pt>
                <c:pt idx="6">
                  <c:v>102.30058699815487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B6-664D-9A52-E9806BF7944B}"/>
            </c:ext>
          </c:extLst>
        </c:ser>
        <c:ser>
          <c:idx val="3"/>
          <c:order val="3"/>
          <c:tx>
            <c:strRef>
              <c:f>'P41 (nvme0n1)'!$E$10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(nvme0n1)'!$AD$4,'P41 (nvme0n1)'!$AD$10,'P41 (nvme0n1)'!$AD$16,'P41 (nvme0n1)'!$AD$22,'P41 (nvme0n1)'!$AD$28,'P41 (nvme0n1)'!$AD$34)</c:f>
                <c:numCache>
                  <c:formatCode>General</c:formatCode>
                  <c:ptCount val="6"/>
                  <c:pt idx="0">
                    <c:v>1.3864735515457873</c:v>
                  </c:pt>
                  <c:pt idx="1">
                    <c:v>0.58805192949065033</c:v>
                  </c:pt>
                  <c:pt idx="2">
                    <c:v>1.3625404710603546</c:v>
                  </c:pt>
                  <c:pt idx="3">
                    <c:v>1.4957201020650335</c:v>
                  </c:pt>
                  <c:pt idx="4">
                    <c:v>2.3534535459717136</c:v>
                  </c:pt>
                  <c:pt idx="5">
                    <c:v>0.70542442623732438</c:v>
                  </c:pt>
                </c:numCache>
              </c:numRef>
            </c:plus>
            <c:minus>
              <c:numRef>
                <c:f>('P41 (nvme0n1)'!$AD$4,'P41 (nvme0n1)'!$AD$10,'P41 (nvme0n1)'!$AD$16,'P41 (nvme0n1)'!$AD$22,'P41 (nvme0n1)'!$AD$28,'P41 (nvme0n1)'!$AD$34)</c:f>
                <c:numCache>
                  <c:formatCode>General</c:formatCode>
                  <c:ptCount val="6"/>
                  <c:pt idx="0">
                    <c:v>1.3864735515457873</c:v>
                  </c:pt>
                  <c:pt idx="1">
                    <c:v>0.58805192949065033</c:v>
                  </c:pt>
                  <c:pt idx="2">
                    <c:v>1.3625404710603546</c:v>
                  </c:pt>
                  <c:pt idx="3">
                    <c:v>1.4957201020650335</c:v>
                  </c:pt>
                  <c:pt idx="4">
                    <c:v>2.3534535459717136</c:v>
                  </c:pt>
                  <c:pt idx="5">
                    <c:v>0.70542442623732438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(nvme0n1)'!$E$11:$E$17</c:f>
              <c:numCache>
                <c:formatCode>0.0_);[Red]\(0.0\)</c:formatCode>
                <c:ptCount val="7"/>
                <c:pt idx="0">
                  <c:v>100.73551027368062</c:v>
                </c:pt>
                <c:pt idx="1">
                  <c:v>100.68631216542178</c:v>
                </c:pt>
                <c:pt idx="2">
                  <c:v>100.93584943107568</c:v>
                </c:pt>
                <c:pt idx="3">
                  <c:v>101.1274859179216</c:v>
                </c:pt>
                <c:pt idx="4">
                  <c:v>97.412922493226844</c:v>
                </c:pt>
                <c:pt idx="5">
                  <c:v>100.34245853353852</c:v>
                </c:pt>
                <c:pt idx="6">
                  <c:v>100.1985641323204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1B6-664D-9A52-E9806BF7944B}"/>
            </c:ext>
          </c:extLst>
        </c:ser>
        <c:ser>
          <c:idx val="4"/>
          <c:order val="4"/>
          <c:tx>
            <c:strRef>
              <c:f>'P41 (nvme0n1)'!$F$10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(nvme0n1)'!$AD$5,'P41 (nvme0n1)'!$AD$11,'P41 (nvme0n1)'!$AD$17,'P41 (nvme0n1)'!$AD$23,'P41 (nvme0n1)'!$AD$29,'P41 (nvme0n1)'!$AD$35)</c:f>
                <c:numCache>
                  <c:formatCode>General</c:formatCode>
                  <c:ptCount val="6"/>
                  <c:pt idx="0">
                    <c:v>0.20892882431330481</c:v>
                  </c:pt>
                  <c:pt idx="1">
                    <c:v>0.20748443651595735</c:v>
                  </c:pt>
                  <c:pt idx="2">
                    <c:v>0.18599824492212036</c:v>
                  </c:pt>
                  <c:pt idx="3">
                    <c:v>0.52681011250330834</c:v>
                  </c:pt>
                  <c:pt idx="4">
                    <c:v>1.4571467544164345</c:v>
                  </c:pt>
                  <c:pt idx="5">
                    <c:v>0.27184390670545994</c:v>
                  </c:pt>
                </c:numCache>
              </c:numRef>
            </c:plus>
            <c:minus>
              <c:numRef>
                <c:f>('P41 (nvme0n1)'!$AD$5,'P41 (nvme0n1)'!$AD$11,'P41 (nvme0n1)'!$AD$17,'P41 (nvme0n1)'!$AD$23,'P41 (nvme0n1)'!$AD$29,'P41 (nvme0n1)'!$AD$35)</c:f>
                <c:numCache>
                  <c:formatCode>General</c:formatCode>
                  <c:ptCount val="6"/>
                  <c:pt idx="0">
                    <c:v>0.20892882431330481</c:v>
                  </c:pt>
                  <c:pt idx="1">
                    <c:v>0.20748443651595735</c:v>
                  </c:pt>
                  <c:pt idx="2">
                    <c:v>0.18599824492212036</c:v>
                  </c:pt>
                  <c:pt idx="3">
                    <c:v>0.52681011250330834</c:v>
                  </c:pt>
                  <c:pt idx="4">
                    <c:v>1.4571467544164345</c:v>
                  </c:pt>
                  <c:pt idx="5">
                    <c:v>0.27184390670545994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(nvme0n1)'!$F$11:$F$17</c:f>
              <c:numCache>
                <c:formatCode>0.0_);[Red]\(0.0\)</c:formatCode>
                <c:ptCount val="7"/>
                <c:pt idx="0">
                  <c:v>102.36971608832806</c:v>
                </c:pt>
                <c:pt idx="1">
                  <c:v>102.72983499854782</c:v>
                </c:pt>
                <c:pt idx="2">
                  <c:v>102.54897808862108</c:v>
                </c:pt>
                <c:pt idx="3">
                  <c:v>102.92815266122541</c:v>
                </c:pt>
                <c:pt idx="4">
                  <c:v>102.64043830117942</c:v>
                </c:pt>
                <c:pt idx="5">
                  <c:v>102.52534582630446</c:v>
                </c:pt>
                <c:pt idx="6">
                  <c:v>102.62359497450518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1B6-664D-9A52-E9806BF7944B}"/>
            </c:ext>
          </c:extLst>
        </c:ser>
        <c:ser>
          <c:idx val="5"/>
          <c:order val="5"/>
          <c:tx>
            <c:strRef>
              <c:f>'P41 (nvme0n1)'!$G$10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(nvme0n1)'!$AD$6,'P41 (nvme0n1)'!$AD$12,'P41 (nvme0n1)'!$AD$18,'P41 (nvme0n1)'!$AD$24,'P41 (nvme0n1)'!$AD$30,'P41 (nvme0n1)'!$AD$36)</c:f>
                <c:numCache>
                  <c:formatCode>General</c:formatCode>
                  <c:ptCount val="6"/>
                  <c:pt idx="0">
                    <c:v>1.2791922223507313</c:v>
                  </c:pt>
                  <c:pt idx="1">
                    <c:v>0.52700680879989237</c:v>
                  </c:pt>
                  <c:pt idx="2">
                    <c:v>0.35631375921889696</c:v>
                  </c:pt>
                  <c:pt idx="3">
                    <c:v>0.34082831984826623</c:v>
                  </c:pt>
                  <c:pt idx="4">
                    <c:v>0.7701070699373036</c:v>
                  </c:pt>
                  <c:pt idx="5">
                    <c:v>0.53841100042010481</c:v>
                  </c:pt>
                </c:numCache>
              </c:numRef>
            </c:plus>
            <c:minus>
              <c:numRef>
                <c:f>('P41 (nvme0n1)'!$AD$6,'P41 (nvme0n1)'!$AD$12,'P41 (nvme0n1)'!$AD$18,'P41 (nvme0n1)'!$AD$24,'P41 (nvme0n1)'!$AD$30,'P41 (nvme0n1)'!$AD$36)</c:f>
                <c:numCache>
                  <c:formatCode>General</c:formatCode>
                  <c:ptCount val="6"/>
                  <c:pt idx="0">
                    <c:v>1.2791922223507313</c:v>
                  </c:pt>
                  <c:pt idx="1">
                    <c:v>0.52700680879989237</c:v>
                  </c:pt>
                  <c:pt idx="2">
                    <c:v>0.35631375921889696</c:v>
                  </c:pt>
                  <c:pt idx="3">
                    <c:v>0.34082831984826623</c:v>
                  </c:pt>
                  <c:pt idx="4">
                    <c:v>0.7701070699373036</c:v>
                  </c:pt>
                  <c:pt idx="5">
                    <c:v>0.53841100042010481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(nvme0n1)'!$G$11:$G$17</c:f>
              <c:numCache>
                <c:formatCode>0.0_);[Red]\(0.0\)</c:formatCode>
                <c:ptCount val="7"/>
                <c:pt idx="0">
                  <c:v>103.91252451189359</c:v>
                </c:pt>
                <c:pt idx="1">
                  <c:v>105.27445518414726</c:v>
                </c:pt>
                <c:pt idx="2">
                  <c:v>105.64539123069636</c:v>
                </c:pt>
                <c:pt idx="3">
                  <c:v>105.07173238303254</c:v>
                </c:pt>
                <c:pt idx="4">
                  <c:v>103.15992390896913</c:v>
                </c:pt>
                <c:pt idx="5">
                  <c:v>104.36784705996276</c:v>
                </c:pt>
                <c:pt idx="6">
                  <c:v>104.56849259243617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1B6-664D-9A52-E9806BF79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1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'P41 (nvme0n1)'!$B$10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(nvme0n1)'!$AE$7,'P41 (nvme0n1)'!$AE$13,'P41 (nvme0n1)'!$AE$19,'P41 (nvme0n1)'!$AE$25,'P41 (nvme0n1)'!$AE$31,'P41 (nvme0n1)'!$AE$37)</c:f>
                <c:numCache>
                  <c:formatCode>General</c:formatCode>
                  <c:ptCount val="6"/>
                  <c:pt idx="0">
                    <c:v>0.43997656187574319</c:v>
                  </c:pt>
                  <c:pt idx="1">
                    <c:v>0.44627976091236804</c:v>
                  </c:pt>
                  <c:pt idx="2">
                    <c:v>0.36417458038693395</c:v>
                  </c:pt>
                  <c:pt idx="3">
                    <c:v>0.68457012058663547</c:v>
                  </c:pt>
                  <c:pt idx="4">
                    <c:v>0.87401194213809186</c:v>
                  </c:pt>
                  <c:pt idx="5">
                    <c:v>0.50427361124690906</c:v>
                  </c:pt>
                </c:numCache>
              </c:numRef>
            </c:plus>
            <c:minus>
              <c:numRef>
                <c:f>('P41 (nvme0n1)'!$AE$7,'P41 (nvme0n1)'!$AE$13,'P41 (nvme0n1)'!$AE$19,'P41 (nvme0n1)'!$AE$25,'P41 (nvme0n1)'!$AE$31,'P41 (nvme0n1)'!$AE$37)</c:f>
                <c:numCache>
                  <c:formatCode>General</c:formatCode>
                  <c:ptCount val="6"/>
                  <c:pt idx="0">
                    <c:v>0.43997656187574319</c:v>
                  </c:pt>
                  <c:pt idx="1">
                    <c:v>0.44627976091236804</c:v>
                  </c:pt>
                  <c:pt idx="2">
                    <c:v>0.36417458038693395</c:v>
                  </c:pt>
                  <c:pt idx="3">
                    <c:v>0.68457012058663547</c:v>
                  </c:pt>
                  <c:pt idx="4">
                    <c:v>0.87401194213809186</c:v>
                  </c:pt>
                  <c:pt idx="5">
                    <c:v>0.50427361124690906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(nvme0n1)'!$B$28:$B$34</c:f>
              <c:numCache>
                <c:formatCode>General</c:formatCode>
                <c:ptCount val="7"/>
                <c:pt idx="0">
                  <c:v>26.424500000000002</c:v>
                </c:pt>
                <c:pt idx="1">
                  <c:v>20.494999999999997</c:v>
                </c:pt>
                <c:pt idx="2">
                  <c:v>17.205500000000001</c:v>
                </c:pt>
                <c:pt idx="3">
                  <c:v>31.576000000000001</c:v>
                </c:pt>
                <c:pt idx="4">
                  <c:v>28.102499999999999</c:v>
                </c:pt>
                <c:pt idx="5">
                  <c:v>28.484500000000004</c:v>
                </c:pt>
                <c:pt idx="6" formatCode="0.0_);[Red]\(0.0\)">
                  <c:v>25.38133333333333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2-2147-9D00-A0858C3B4B0B}"/>
            </c:ext>
          </c:extLst>
        </c:ser>
        <c:ser>
          <c:idx val="1"/>
          <c:order val="1"/>
          <c:tx>
            <c:strRef>
              <c:f>'P41 (nvme0n1)'!$C$10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(nvme0n1)'!$AE$2,'P41 (nvme0n1)'!$AE$8,'P41 (nvme0n1)'!$AE$14,'P41 (nvme0n1)'!$AE$20,'P41 (nvme0n1)'!$AE$26,'P41 (nvme0n1)'!$AE$32)</c:f>
                <c:numCache>
                  <c:formatCode>General</c:formatCode>
                  <c:ptCount val="6"/>
                  <c:pt idx="0">
                    <c:v>1.7625056737497302</c:v>
                  </c:pt>
                  <c:pt idx="1">
                    <c:v>0.90185503269650003</c:v>
                  </c:pt>
                  <c:pt idx="2">
                    <c:v>1.7460920651557885</c:v>
                  </c:pt>
                  <c:pt idx="3">
                    <c:v>2.362789268005081</c:v>
                  </c:pt>
                  <c:pt idx="4">
                    <c:v>1.3766054264022078</c:v>
                  </c:pt>
                  <c:pt idx="5">
                    <c:v>1.8112003961461614</c:v>
                  </c:pt>
                </c:numCache>
              </c:numRef>
            </c:plus>
            <c:minus>
              <c:numRef>
                <c:f>('P41 (nvme0n1)'!$AE$2,'P41 (nvme0n1)'!$AE$8,'P41 (nvme0n1)'!$AE$14,'P41 (nvme0n1)'!$AE$20,'P41 (nvme0n1)'!$AE$26,'P41 (nvme0n1)'!$AE$32)</c:f>
                <c:numCache>
                  <c:formatCode>General</c:formatCode>
                  <c:ptCount val="6"/>
                  <c:pt idx="0">
                    <c:v>1.7625056737497302</c:v>
                  </c:pt>
                  <c:pt idx="1">
                    <c:v>0.90185503269650003</c:v>
                  </c:pt>
                  <c:pt idx="2">
                    <c:v>1.7460920651557885</c:v>
                  </c:pt>
                  <c:pt idx="3">
                    <c:v>2.362789268005081</c:v>
                  </c:pt>
                  <c:pt idx="4">
                    <c:v>1.3766054264022078</c:v>
                  </c:pt>
                  <c:pt idx="5">
                    <c:v>1.8112003961461614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(nvme0n1)'!$C$28:$C$34</c:f>
              <c:numCache>
                <c:formatCode>General</c:formatCode>
                <c:ptCount val="7"/>
                <c:pt idx="0">
                  <c:v>87.042000000000002</c:v>
                </c:pt>
                <c:pt idx="1">
                  <c:v>87.753999999999991</c:v>
                </c:pt>
                <c:pt idx="2">
                  <c:v>89.767500000000013</c:v>
                </c:pt>
                <c:pt idx="3">
                  <c:v>87.354500000000002</c:v>
                </c:pt>
                <c:pt idx="4">
                  <c:v>87.563999999999993</c:v>
                </c:pt>
                <c:pt idx="5">
                  <c:v>86.072499999999991</c:v>
                </c:pt>
                <c:pt idx="6" formatCode="0.0_);[Red]\(0.0\)">
                  <c:v>87.592416666666665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B2-2147-9D00-A0858C3B4B0B}"/>
            </c:ext>
          </c:extLst>
        </c:ser>
        <c:ser>
          <c:idx val="2"/>
          <c:order val="2"/>
          <c:tx>
            <c:strRef>
              <c:f>'P41 (nvme0n1)'!$D$10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(nvme0n1)'!$AE$3,'P41 (nvme0n1)'!$AE$9,'P41 (nvme0n1)'!$AE$15,'P41 (nvme0n1)'!$AE$21,'P41 (nvme0n1)'!$AE$27,'P41 (nvme0n1)'!$AE$33)</c:f>
                <c:numCache>
                  <c:formatCode>General</c:formatCode>
                  <c:ptCount val="6"/>
                  <c:pt idx="0">
                    <c:v>1.1184565257532364</c:v>
                  </c:pt>
                  <c:pt idx="1">
                    <c:v>0.83092079947489617</c:v>
                  </c:pt>
                  <c:pt idx="2">
                    <c:v>0.58005226057658066</c:v>
                  </c:pt>
                  <c:pt idx="3">
                    <c:v>0.88281332964562687</c:v>
                  </c:pt>
                  <c:pt idx="4">
                    <c:v>1.7221728644360887</c:v>
                  </c:pt>
                  <c:pt idx="5">
                    <c:v>1.2767370520197181</c:v>
                  </c:pt>
                </c:numCache>
              </c:numRef>
            </c:plus>
            <c:minus>
              <c:numRef>
                <c:f>('P41 (nvme0n1)'!$AE$3,'P41 (nvme0n1)'!$AE$9,'P41 (nvme0n1)'!$AE$15,'P41 (nvme0n1)'!$AE$21,'P41 (nvme0n1)'!$AE$27,'P41 (nvme0n1)'!$AE$33)</c:f>
                <c:numCache>
                  <c:formatCode>General</c:formatCode>
                  <c:ptCount val="6"/>
                  <c:pt idx="0">
                    <c:v>1.1184565257532364</c:v>
                  </c:pt>
                  <c:pt idx="1">
                    <c:v>0.83092079947489617</c:v>
                  </c:pt>
                  <c:pt idx="2">
                    <c:v>0.58005226057658066</c:v>
                  </c:pt>
                  <c:pt idx="3">
                    <c:v>0.88281332964562687</c:v>
                  </c:pt>
                  <c:pt idx="4">
                    <c:v>1.7221728644360887</c:v>
                  </c:pt>
                  <c:pt idx="5">
                    <c:v>1.2767370520197181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(nvme0n1)'!$D$28:$D$34</c:f>
              <c:numCache>
                <c:formatCode>General</c:formatCode>
                <c:ptCount val="7"/>
                <c:pt idx="0">
                  <c:v>53.027999999999999</c:v>
                </c:pt>
                <c:pt idx="1">
                  <c:v>49.794499999999992</c:v>
                </c:pt>
                <c:pt idx="2">
                  <c:v>46.737000000000009</c:v>
                </c:pt>
                <c:pt idx="3">
                  <c:v>55.827500000000001</c:v>
                </c:pt>
                <c:pt idx="4">
                  <c:v>53.905499999999996</c:v>
                </c:pt>
                <c:pt idx="5">
                  <c:v>54.259500000000003</c:v>
                </c:pt>
                <c:pt idx="6" formatCode="0.0_);[Red]\(0.0\)">
                  <c:v>52.25866666666667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B2-2147-9D00-A0858C3B4B0B}"/>
            </c:ext>
          </c:extLst>
        </c:ser>
        <c:ser>
          <c:idx val="3"/>
          <c:order val="3"/>
          <c:tx>
            <c:strRef>
              <c:f>'P41 (nvme0n1)'!$E$10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(nvme0n1)'!$AE$4,'P41 (nvme0n1)'!$AE$10,'P41 (nvme0n1)'!$AE$16,'P41 (nvme0n1)'!$AE$22,'P41 (nvme0n1)'!$AE$28,'P41 (nvme0n1)'!$AE$34)</c:f>
                <c:numCache>
                  <c:formatCode>General</c:formatCode>
                  <c:ptCount val="6"/>
                  <c:pt idx="0">
                    <c:v>1.3282126147571391</c:v>
                  </c:pt>
                  <c:pt idx="1">
                    <c:v>0.73318781700189217</c:v>
                  </c:pt>
                  <c:pt idx="2">
                    <c:v>0.65539348867683966</c:v>
                  </c:pt>
                  <c:pt idx="3">
                    <c:v>1.1329626538416879</c:v>
                  </c:pt>
                  <c:pt idx="4">
                    <c:v>0.85348257158538254</c:v>
                  </c:pt>
                  <c:pt idx="5">
                    <c:v>0.60086032070690154</c:v>
                  </c:pt>
                </c:numCache>
              </c:numRef>
            </c:plus>
            <c:minus>
              <c:numRef>
                <c:f>('P41 (nvme0n1)'!$AE$4,'P41 (nvme0n1)'!$AE$10,'P41 (nvme0n1)'!$AE$16,'P41 (nvme0n1)'!$AE$22,'P41 (nvme0n1)'!$AE$28,'P41 (nvme0n1)'!$AE$34)</c:f>
                <c:numCache>
                  <c:formatCode>General</c:formatCode>
                  <c:ptCount val="6"/>
                  <c:pt idx="0">
                    <c:v>1.3282126147571391</c:v>
                  </c:pt>
                  <c:pt idx="1">
                    <c:v>0.73318781700189217</c:v>
                  </c:pt>
                  <c:pt idx="2">
                    <c:v>0.65539348867683966</c:v>
                  </c:pt>
                  <c:pt idx="3">
                    <c:v>1.1329626538416879</c:v>
                  </c:pt>
                  <c:pt idx="4">
                    <c:v>0.85348257158538254</c:v>
                  </c:pt>
                  <c:pt idx="5">
                    <c:v>0.60086032070690154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(nvme0n1)'!$E$28:$E$34</c:f>
              <c:numCache>
                <c:formatCode>General</c:formatCode>
                <c:ptCount val="7"/>
                <c:pt idx="0">
                  <c:v>40.793999999999997</c:v>
                </c:pt>
                <c:pt idx="1">
                  <c:v>35.184000000000005</c:v>
                </c:pt>
                <c:pt idx="2">
                  <c:v>31.759999999999998</c:v>
                </c:pt>
                <c:pt idx="3">
                  <c:v>44.404499999999999</c:v>
                </c:pt>
                <c:pt idx="4">
                  <c:v>33.7455</c:v>
                </c:pt>
                <c:pt idx="5">
                  <c:v>42.198500000000003</c:v>
                </c:pt>
                <c:pt idx="6" formatCode="0.0_);[Red]\(0.0\)">
                  <c:v>38.014416666666662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B2-2147-9D00-A0858C3B4B0B}"/>
            </c:ext>
          </c:extLst>
        </c:ser>
        <c:ser>
          <c:idx val="4"/>
          <c:order val="4"/>
          <c:tx>
            <c:strRef>
              <c:f>'P41 (nvme0n1)'!$F$10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(nvme0n1)'!$AE$5,'P41 (nvme0n1)'!$AE$11,'P41 (nvme0n1)'!$AE$17,'P41 (nvme0n1)'!$AE$23,'P41 (nvme0n1)'!$AE$29,'P41 (nvme0n1)'!$AE$35)</c:f>
                <c:numCache>
                  <c:formatCode>General</c:formatCode>
                  <c:ptCount val="6"/>
                  <c:pt idx="0">
                    <c:v>0.84961130818745434</c:v>
                  </c:pt>
                  <c:pt idx="1">
                    <c:v>0.26812660255931442</c:v>
                  </c:pt>
                  <c:pt idx="2">
                    <c:v>0.88815820662762468</c:v>
                  </c:pt>
                  <c:pt idx="3">
                    <c:v>0.94648923660018358</c:v>
                  </c:pt>
                  <c:pt idx="4">
                    <c:v>1.2594314193317553</c:v>
                  </c:pt>
                  <c:pt idx="5">
                    <c:v>1.2759596878428405</c:v>
                  </c:pt>
                </c:numCache>
              </c:numRef>
            </c:plus>
            <c:minus>
              <c:numRef>
                <c:f>('P41 (nvme0n1)'!$AE$5,'P41 (nvme0n1)'!$AE$11,'P41 (nvme0n1)'!$AE$17,'P41 (nvme0n1)'!$AE$23,'P41 (nvme0n1)'!$AE$29,'P41 (nvme0n1)'!$AE$35)</c:f>
                <c:numCache>
                  <c:formatCode>General</c:formatCode>
                  <c:ptCount val="6"/>
                  <c:pt idx="0">
                    <c:v>0.84961130818745434</c:v>
                  </c:pt>
                  <c:pt idx="1">
                    <c:v>0.26812660255931442</c:v>
                  </c:pt>
                  <c:pt idx="2">
                    <c:v>0.88815820662762468</c:v>
                  </c:pt>
                  <c:pt idx="3">
                    <c:v>0.94648923660018358</c:v>
                  </c:pt>
                  <c:pt idx="4">
                    <c:v>1.2594314193317553</c:v>
                  </c:pt>
                  <c:pt idx="5">
                    <c:v>1.2759596878428405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(nvme0n1)'!$F$28:$F$34</c:f>
              <c:numCache>
                <c:formatCode>General</c:formatCode>
                <c:ptCount val="7"/>
                <c:pt idx="0">
                  <c:v>43.975999999999999</c:v>
                </c:pt>
                <c:pt idx="1">
                  <c:v>36.933</c:v>
                </c:pt>
                <c:pt idx="2">
                  <c:v>34.56750000000001</c:v>
                </c:pt>
                <c:pt idx="3">
                  <c:v>46.670499999999997</c:v>
                </c:pt>
                <c:pt idx="4">
                  <c:v>43.968499999999999</c:v>
                </c:pt>
                <c:pt idx="5">
                  <c:v>45.271999999999991</c:v>
                </c:pt>
                <c:pt idx="6" formatCode="0.0_);[Red]\(0.0\)">
                  <c:v>41.897916666666667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B2-2147-9D00-A0858C3B4B0B}"/>
            </c:ext>
          </c:extLst>
        </c:ser>
        <c:ser>
          <c:idx val="5"/>
          <c:order val="5"/>
          <c:tx>
            <c:strRef>
              <c:f>'P41 (nvme0n1)'!$G$10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('P41 (nvme0n1)'!$AE$6,'P41 (nvme0n1)'!$AE$12,'P41 (nvme0n1)'!$AE$18,'P41 (nvme0n1)'!$AE$24,'P41 (nvme0n1)'!$AE$30,'P41 (nvme0n1)'!$AE$36)</c:f>
                <c:numCache>
                  <c:formatCode>General</c:formatCode>
                  <c:ptCount val="6"/>
                  <c:pt idx="0">
                    <c:v>1.7998315893438508</c:v>
                  </c:pt>
                  <c:pt idx="1">
                    <c:v>2.1891418124461448</c:v>
                  </c:pt>
                  <c:pt idx="2">
                    <c:v>1.7526073433601741</c:v>
                  </c:pt>
                  <c:pt idx="3">
                    <c:v>2.2676994124001548</c:v>
                  </c:pt>
                  <c:pt idx="4">
                    <c:v>2.4527754687292549</c:v>
                  </c:pt>
                  <c:pt idx="5">
                    <c:v>1.0062777946471821</c:v>
                  </c:pt>
                </c:numCache>
              </c:numRef>
            </c:plus>
            <c:minus>
              <c:numRef>
                <c:f>('P41 (nvme0n1)'!$AE$6,'P41 (nvme0n1)'!$AE$12,'P41 (nvme0n1)'!$AE$18,'P41 (nvme0n1)'!$AE$24,'P41 (nvme0n1)'!$AE$30,'P41 (nvme0n1)'!$AE$36)</c:f>
                <c:numCache>
                  <c:formatCode>General</c:formatCode>
                  <c:ptCount val="6"/>
                  <c:pt idx="0">
                    <c:v>1.7998315893438508</c:v>
                  </c:pt>
                  <c:pt idx="1">
                    <c:v>2.1891418124461448</c:v>
                  </c:pt>
                  <c:pt idx="2">
                    <c:v>1.7526073433601741</c:v>
                  </c:pt>
                  <c:pt idx="3">
                    <c:v>2.2676994124001548</c:v>
                  </c:pt>
                  <c:pt idx="4">
                    <c:v>2.4527754687292549</c:v>
                  </c:pt>
                  <c:pt idx="5">
                    <c:v>1.0062777946471821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'P41 (nvme0n1)'!$A$28:$A$34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'P41 (nvme0n1)'!$G$28:$G$34</c:f>
              <c:numCache>
                <c:formatCode>General</c:formatCode>
                <c:ptCount val="7"/>
                <c:pt idx="0">
                  <c:v>73.204999999999998</c:v>
                </c:pt>
                <c:pt idx="1">
                  <c:v>73.314499999999995</c:v>
                </c:pt>
                <c:pt idx="2">
                  <c:v>78.823000000000008</c:v>
                </c:pt>
                <c:pt idx="3">
                  <c:v>76.257999999999996</c:v>
                </c:pt>
                <c:pt idx="4">
                  <c:v>81.602000000000004</c:v>
                </c:pt>
                <c:pt idx="5">
                  <c:v>72.714500000000001</c:v>
                </c:pt>
                <c:pt idx="6" formatCode="0.0_);[Red]\(0.0\)">
                  <c:v>75.986166666666662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B2-2147-9D00-A0858C3B4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'983 (nvme2n1)'!$B$10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(nvme2n1)'!$AD$7,'983 (nvme2n1)'!$AD$13,'983 (nvme2n1)'!$AD$19,'983 (nvme2n1)'!$AD$25,'983 (nvme2n1)'!$AD$31,'983 (nvme2n1)'!$AD$37)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plus>
            <c:minus>
              <c:numRef>
                <c:f>('983 (nvme2n1)'!$AD$7,'983 (nvme2n1)'!$AD$13,'983 (nvme2n1)'!$AD$19,'983 (nvme2n1)'!$AD$25,'983 (nvme2n1)'!$AD$31,'983 (nvme2n1)'!$AD$37)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(nvme2n1)'!$B$11:$B$17</c:f>
              <c:numCache>
                <c:formatCode>0.0_);[Red]\(0.0\)</c:formatCode>
                <c:ptCount val="7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5045-AFB5-FB35A555815D}"/>
            </c:ext>
          </c:extLst>
        </c:ser>
        <c:ser>
          <c:idx val="1"/>
          <c:order val="1"/>
          <c:tx>
            <c:strRef>
              <c:f>'983 (nvme2n1)'!$C$10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(nvme2n1)'!$AD$2,'983 (nvme2n1)'!$AD$8,'983 (nvme2n1)'!$AD$14,'983 (nvme2n1)'!$AD$20,'983 (nvme2n1)'!$AD$26,'983 (nvme2n1)'!$AD$32)</c:f>
                <c:numCache>
                  <c:formatCode>General</c:formatCode>
                  <c:ptCount val="6"/>
                  <c:pt idx="0">
                    <c:v>1.0982409873029226</c:v>
                  </c:pt>
                  <c:pt idx="1">
                    <c:v>0.30972766895285719</c:v>
                  </c:pt>
                  <c:pt idx="2">
                    <c:v>0.28203618318990581</c:v>
                  </c:pt>
                  <c:pt idx="3">
                    <c:v>0.94444760209246092</c:v>
                  </c:pt>
                  <c:pt idx="4">
                    <c:v>0.50030640415485861</c:v>
                  </c:pt>
                  <c:pt idx="5">
                    <c:v>0.48377228474840744</c:v>
                  </c:pt>
                </c:numCache>
              </c:numRef>
            </c:plus>
            <c:minus>
              <c:numRef>
                <c:f>('983 (nvme2n1)'!$AD$2,'983 (nvme2n1)'!$AD$8,'983 (nvme2n1)'!$AD$14,'983 (nvme2n1)'!$AD$20,'983 (nvme2n1)'!$AD$26,'983 (nvme2n1)'!$AD$32)</c:f>
                <c:numCache>
                  <c:formatCode>General</c:formatCode>
                  <c:ptCount val="6"/>
                  <c:pt idx="0">
                    <c:v>1.0982409873029226</c:v>
                  </c:pt>
                  <c:pt idx="1">
                    <c:v>0.30972766895285719</c:v>
                  </c:pt>
                  <c:pt idx="2">
                    <c:v>0.28203618318990581</c:v>
                  </c:pt>
                  <c:pt idx="3">
                    <c:v>0.94444760209246092</c:v>
                  </c:pt>
                  <c:pt idx="4">
                    <c:v>0.50030640415485861</c:v>
                  </c:pt>
                  <c:pt idx="5">
                    <c:v>0.48377228474840744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(nvme2n1)'!$C$11:$C$17</c:f>
              <c:numCache>
                <c:formatCode>0.0_);[Red]\(0.0\)</c:formatCode>
                <c:ptCount val="7"/>
                <c:pt idx="0">
                  <c:v>95.673426320779527</c:v>
                </c:pt>
                <c:pt idx="1">
                  <c:v>98.608768691769527</c:v>
                </c:pt>
                <c:pt idx="2">
                  <c:v>98.802026591537853</c:v>
                </c:pt>
                <c:pt idx="3">
                  <c:v>97.514349338381678</c:v>
                </c:pt>
                <c:pt idx="4">
                  <c:v>98.49371961955471</c:v>
                </c:pt>
                <c:pt idx="5">
                  <c:v>95.896380376392301</c:v>
                </c:pt>
                <c:pt idx="6">
                  <c:v>97.489684793223603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5045-AFB5-FB35A555815D}"/>
            </c:ext>
          </c:extLst>
        </c:ser>
        <c:ser>
          <c:idx val="2"/>
          <c:order val="2"/>
          <c:tx>
            <c:strRef>
              <c:f>'983 (nvme2n1)'!$D$10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(nvme2n1)'!$AD$3,'983 (nvme2n1)'!$AD$9,'983 (nvme2n1)'!$AD$15,'983 (nvme2n1)'!$AD$21,'983 (nvme2n1)'!$AD$27,'983 (nvme2n1)'!$AD$33)</c:f>
                <c:numCache>
                  <c:formatCode>General</c:formatCode>
                  <c:ptCount val="6"/>
                  <c:pt idx="0">
                    <c:v>0.81578807323201374</c:v>
                  </c:pt>
                  <c:pt idx="1">
                    <c:v>0.46903303485448122</c:v>
                  </c:pt>
                  <c:pt idx="2">
                    <c:v>0.56274508912625376</c:v>
                  </c:pt>
                  <c:pt idx="3">
                    <c:v>0.93819444210892089</c:v>
                  </c:pt>
                  <c:pt idx="4">
                    <c:v>0.31746822026617394</c:v>
                  </c:pt>
                  <c:pt idx="5">
                    <c:v>1.0471080265142521</c:v>
                  </c:pt>
                </c:numCache>
              </c:numRef>
            </c:plus>
            <c:minus>
              <c:numRef>
                <c:f>('983 (nvme2n1)'!$AD$3,'983 (nvme2n1)'!$AD$9,'983 (nvme2n1)'!$AD$15,'983 (nvme2n1)'!$AD$21,'983 (nvme2n1)'!$AD$27,'983 (nvme2n1)'!$AD$33)</c:f>
                <c:numCache>
                  <c:formatCode>General</c:formatCode>
                  <c:ptCount val="6"/>
                  <c:pt idx="0">
                    <c:v>0.81578807323201374</c:v>
                  </c:pt>
                  <c:pt idx="1">
                    <c:v>0.46903303485448122</c:v>
                  </c:pt>
                  <c:pt idx="2">
                    <c:v>0.56274508912625376</c:v>
                  </c:pt>
                  <c:pt idx="3">
                    <c:v>0.93819444210892089</c:v>
                  </c:pt>
                  <c:pt idx="4">
                    <c:v>0.31746822026617394</c:v>
                  </c:pt>
                  <c:pt idx="5">
                    <c:v>1.0471080265142521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(nvme2n1)'!$D$11:$D$17</c:f>
              <c:numCache>
                <c:formatCode>0.0_);[Red]\(0.0\)</c:formatCode>
                <c:ptCount val="7"/>
                <c:pt idx="0">
                  <c:v>101.37935787288606</c:v>
                </c:pt>
                <c:pt idx="1">
                  <c:v>102.77275691230001</c:v>
                </c:pt>
                <c:pt idx="2">
                  <c:v>104.30885317276719</c:v>
                </c:pt>
                <c:pt idx="3">
                  <c:v>101.90626311898303</c:v>
                </c:pt>
                <c:pt idx="4">
                  <c:v>101.72443090697978</c:v>
                </c:pt>
                <c:pt idx="5">
                  <c:v>101.62947900485872</c:v>
                </c:pt>
                <c:pt idx="6">
                  <c:v>102.28197208091899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5045-AFB5-FB35A555815D}"/>
            </c:ext>
          </c:extLst>
        </c:ser>
        <c:ser>
          <c:idx val="3"/>
          <c:order val="3"/>
          <c:tx>
            <c:strRef>
              <c:f>'983 (nvme2n1)'!$E$10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(nvme2n1)'!$AD$4,'983 (nvme2n1)'!$AD$10,'983 (nvme2n1)'!$AD$16,'983 (nvme2n1)'!$AD$22,'983 (nvme2n1)'!$AD$28,'983 (nvme2n1)'!$AD$34)</c:f>
                <c:numCache>
                  <c:formatCode>General</c:formatCode>
                  <c:ptCount val="6"/>
                  <c:pt idx="0">
                    <c:v>1.4027480467015359</c:v>
                  </c:pt>
                  <c:pt idx="1">
                    <c:v>0.90436445429057277</c:v>
                  </c:pt>
                  <c:pt idx="2">
                    <c:v>0.47738460599648158</c:v>
                  </c:pt>
                  <c:pt idx="3">
                    <c:v>1.0380117802341826</c:v>
                  </c:pt>
                  <c:pt idx="4">
                    <c:v>0.87840946543496745</c:v>
                  </c:pt>
                  <c:pt idx="5">
                    <c:v>0.92355666066925113</c:v>
                  </c:pt>
                </c:numCache>
              </c:numRef>
            </c:plus>
            <c:minus>
              <c:numRef>
                <c:f>('983 (nvme2n1)'!$AD$4,'983 (nvme2n1)'!$AD$10,'983 (nvme2n1)'!$AD$16,'983 (nvme2n1)'!$AD$22,'983 (nvme2n1)'!$AD$28,'983 (nvme2n1)'!$AD$34)</c:f>
                <c:numCache>
                  <c:formatCode>General</c:formatCode>
                  <c:ptCount val="6"/>
                  <c:pt idx="0">
                    <c:v>1.4027480467015359</c:v>
                  </c:pt>
                  <c:pt idx="1">
                    <c:v>0.90436445429057277</c:v>
                  </c:pt>
                  <c:pt idx="2">
                    <c:v>0.47738460599648158</c:v>
                  </c:pt>
                  <c:pt idx="3">
                    <c:v>1.0380117802341826</c:v>
                  </c:pt>
                  <c:pt idx="4">
                    <c:v>0.87840946543496745</c:v>
                  </c:pt>
                  <c:pt idx="5">
                    <c:v>0.92355666066925113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(nvme2n1)'!$E$11:$E$17</c:f>
              <c:numCache>
                <c:formatCode>0.0_);[Red]\(0.0\)</c:formatCode>
                <c:ptCount val="7"/>
                <c:pt idx="0">
                  <c:v>104.06725231076376</c:v>
                </c:pt>
                <c:pt idx="1">
                  <c:v>104.72213654097142</c:v>
                </c:pt>
                <c:pt idx="2">
                  <c:v>104.19791530162192</c:v>
                </c:pt>
                <c:pt idx="3">
                  <c:v>103.36777884578687</c:v>
                </c:pt>
                <c:pt idx="4">
                  <c:v>100.77522852176872</c:v>
                </c:pt>
                <c:pt idx="5">
                  <c:v>103.47444135735194</c:v>
                </c:pt>
                <c:pt idx="6">
                  <c:v>103.42621062264411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5045-AFB5-FB35A555815D}"/>
            </c:ext>
          </c:extLst>
        </c:ser>
        <c:ser>
          <c:idx val="4"/>
          <c:order val="4"/>
          <c:tx>
            <c:strRef>
              <c:f>'983 (nvme2n1)'!$F$10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(nvme2n1)'!$AD$5,'983 (nvme2n1)'!$AD$11,'983 (nvme2n1)'!$AD$17,'983 (nvme2n1)'!$AD$23,'983 (nvme2n1)'!$AD$29,'983 (nvme2n1)'!$AD$35)</c:f>
                <c:numCache>
                  <c:formatCode>General</c:formatCode>
                  <c:ptCount val="6"/>
                  <c:pt idx="0">
                    <c:v>0.46261938948637982</c:v>
                  </c:pt>
                  <c:pt idx="1">
                    <c:v>0.39054265565029345</c:v>
                  </c:pt>
                  <c:pt idx="2">
                    <c:v>0.30344346701325825</c:v>
                  </c:pt>
                  <c:pt idx="3">
                    <c:v>0.47964167311793388</c:v>
                  </c:pt>
                  <c:pt idx="4">
                    <c:v>0.49251121500575262</c:v>
                  </c:pt>
                  <c:pt idx="5">
                    <c:v>0.59872100786513671</c:v>
                  </c:pt>
                </c:numCache>
              </c:numRef>
            </c:plus>
            <c:minus>
              <c:numRef>
                <c:f>('983 (nvme2n1)'!$AD$5,'983 (nvme2n1)'!$AD$11,'983 (nvme2n1)'!$AD$17,'983 (nvme2n1)'!$AD$23,'983 (nvme2n1)'!$AD$29,'983 (nvme2n1)'!$AD$35)</c:f>
                <c:numCache>
                  <c:formatCode>General</c:formatCode>
                  <c:ptCount val="6"/>
                  <c:pt idx="0">
                    <c:v>0.46261938948637982</c:v>
                  </c:pt>
                  <c:pt idx="1">
                    <c:v>0.39054265565029345</c:v>
                  </c:pt>
                  <c:pt idx="2">
                    <c:v>0.30344346701325825</c:v>
                  </c:pt>
                  <c:pt idx="3">
                    <c:v>0.47964167311793388</c:v>
                  </c:pt>
                  <c:pt idx="4">
                    <c:v>0.49251121500575262</c:v>
                  </c:pt>
                  <c:pt idx="5">
                    <c:v>0.59872100786513671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(nvme2n1)'!$F$11:$F$17</c:f>
              <c:numCache>
                <c:formatCode>0.0_);[Red]\(0.0\)</c:formatCode>
                <c:ptCount val="7"/>
                <c:pt idx="0">
                  <c:v>105.15301370377949</c:v>
                </c:pt>
                <c:pt idx="1">
                  <c:v>105.73108769194135</c:v>
                </c:pt>
                <c:pt idx="2">
                  <c:v>106.16411462558895</c:v>
                </c:pt>
                <c:pt idx="3">
                  <c:v>105.25549233296678</c:v>
                </c:pt>
                <c:pt idx="4">
                  <c:v>104.62348846465139</c:v>
                </c:pt>
                <c:pt idx="5">
                  <c:v>105.26485690084732</c:v>
                </c:pt>
                <c:pt idx="6">
                  <c:v>105.36424408250845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5045-AFB5-FB35A555815D}"/>
            </c:ext>
          </c:extLst>
        </c:ser>
        <c:ser>
          <c:idx val="5"/>
          <c:order val="5"/>
          <c:tx>
            <c:strRef>
              <c:f>'983 (nvme2n1)'!$G$10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(nvme2n1)'!$AD$6,'983 (nvme2n1)'!$AD$12,'983 (nvme2n1)'!$AD$18,'983 (nvme2n1)'!$AD$24,'983 (nvme2n1)'!$AD$30,'983 (nvme2n1)'!$AD$36)</c:f>
                <c:numCache>
                  <c:formatCode>General</c:formatCode>
                  <c:ptCount val="6"/>
                  <c:pt idx="0">
                    <c:v>1.4605200478526859</c:v>
                  </c:pt>
                  <c:pt idx="1">
                    <c:v>0.32505396842094947</c:v>
                  </c:pt>
                  <c:pt idx="2">
                    <c:v>0.30452670848476837</c:v>
                  </c:pt>
                  <c:pt idx="3">
                    <c:v>0.52266274011588587</c:v>
                  </c:pt>
                  <c:pt idx="4">
                    <c:v>0.25086626595867739</c:v>
                  </c:pt>
                  <c:pt idx="5">
                    <c:v>0.95578071801575359</c:v>
                  </c:pt>
                </c:numCache>
              </c:numRef>
            </c:plus>
            <c:minus>
              <c:numRef>
                <c:f>('983 (nvme2n1)'!$AD$6,'983 (nvme2n1)'!$AD$12,'983 (nvme2n1)'!$AD$18,'983 (nvme2n1)'!$AD$24,'983 (nvme2n1)'!$AD$30,'983 (nvme2n1)'!$AD$36)</c:f>
                <c:numCache>
                  <c:formatCode>General</c:formatCode>
                  <c:ptCount val="6"/>
                  <c:pt idx="0">
                    <c:v>1.4605200478526859</c:v>
                  </c:pt>
                  <c:pt idx="1">
                    <c:v>0.32505396842094947</c:v>
                  </c:pt>
                  <c:pt idx="2">
                    <c:v>0.30452670848476837</c:v>
                  </c:pt>
                  <c:pt idx="3">
                    <c:v>0.52266274011588587</c:v>
                  </c:pt>
                  <c:pt idx="4">
                    <c:v>0.25086626595867739</c:v>
                  </c:pt>
                  <c:pt idx="5">
                    <c:v>0.95578071801575359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(nvme2n1)'!$A$11:$A$17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(nvme2n1)'!$G$11:$G$17</c:f>
              <c:numCache>
                <c:formatCode>0.0_);[Red]\(0.0\)</c:formatCode>
                <c:ptCount val="7"/>
                <c:pt idx="0">
                  <c:v>107.03642193941265</c:v>
                </c:pt>
                <c:pt idx="1">
                  <c:v>108.63114405736613</c:v>
                </c:pt>
                <c:pt idx="2">
                  <c:v>108.18851803974266</c:v>
                </c:pt>
                <c:pt idx="3">
                  <c:v>106.81419392974394</c:v>
                </c:pt>
                <c:pt idx="4">
                  <c:v>106.7186951323276</c:v>
                </c:pt>
                <c:pt idx="5">
                  <c:v>106.75922425994852</c:v>
                </c:pt>
                <c:pt idx="6">
                  <c:v>107.35534334529754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5045-AFB5-FB35A5558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14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'983 (nvme2n1)'!$B$10</c:f>
              <c:strCache>
                <c:ptCount val="1"/>
                <c:pt idx="0">
                  <c:v>INT</c:v>
                </c:pt>
              </c:strCache>
            </c:strRef>
          </c:tx>
          <c:spPr>
            <a:solidFill>
              <a:srgbClr val="F9C00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(nvme2n1)'!$AE$7,'983 (nvme2n1)'!$AE$13,'983 (nvme2n1)'!$AE$19,'983 (nvme2n1)'!$AE$25,'983 (nvme2n1)'!$AE$31,'983 (nvme2n1)'!$AE$37)</c:f>
                <c:numCache>
                  <c:formatCode>General</c:formatCode>
                  <c:ptCount val="6"/>
                  <c:pt idx="0">
                    <c:v>0.69798056921378726</c:v>
                  </c:pt>
                  <c:pt idx="1">
                    <c:v>0.73765040839140161</c:v>
                  </c:pt>
                  <c:pt idx="2">
                    <c:v>0.35545921003682107</c:v>
                  </c:pt>
                  <c:pt idx="3">
                    <c:v>1.3251999849079399</c:v>
                  </c:pt>
                  <c:pt idx="4">
                    <c:v>0.86397518772242332</c:v>
                  </c:pt>
                  <c:pt idx="5">
                    <c:v>0.7747955375452269</c:v>
                  </c:pt>
                </c:numCache>
              </c:numRef>
            </c:plus>
            <c:minus>
              <c:numRef>
                <c:f>('983 (nvme2n1)'!$AE$7,'983 (nvme2n1)'!$AE$13,'983 (nvme2n1)'!$AE$19,'983 (nvme2n1)'!$AE$25,'983 (nvme2n1)'!$AE$31,'983 (nvme2n1)'!$AE$37)</c:f>
                <c:numCache>
                  <c:formatCode>General</c:formatCode>
                  <c:ptCount val="6"/>
                  <c:pt idx="0">
                    <c:v>0.69798056921378726</c:v>
                  </c:pt>
                  <c:pt idx="1">
                    <c:v>0.73765040839140161</c:v>
                  </c:pt>
                  <c:pt idx="2">
                    <c:v>0.35545921003682107</c:v>
                  </c:pt>
                  <c:pt idx="3">
                    <c:v>1.3251999849079399</c:v>
                  </c:pt>
                  <c:pt idx="4">
                    <c:v>0.86397518772242332</c:v>
                  </c:pt>
                  <c:pt idx="5">
                    <c:v>0.7747955375452269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(nvme2n1)'!$B$28:$B$34</c:f>
              <c:numCache>
                <c:formatCode>General</c:formatCode>
                <c:ptCount val="7"/>
                <c:pt idx="0">
                  <c:v>35.738999999999997</c:v>
                </c:pt>
                <c:pt idx="1">
                  <c:v>29.452499999999997</c:v>
                </c:pt>
                <c:pt idx="2">
                  <c:v>25.391999999999999</c:v>
                </c:pt>
                <c:pt idx="3">
                  <c:v>42.388500000000008</c:v>
                </c:pt>
                <c:pt idx="4">
                  <c:v>41.075000000000003</c:v>
                </c:pt>
                <c:pt idx="5">
                  <c:v>38.914000000000001</c:v>
                </c:pt>
                <c:pt idx="6" formatCode="0.0_);[Red]\(0.0\)">
                  <c:v>35.49349999999999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3-7F47-BD16-C5CAA87B9F1C}"/>
            </c:ext>
          </c:extLst>
        </c:ser>
        <c:ser>
          <c:idx val="1"/>
          <c:order val="1"/>
          <c:tx>
            <c:strRef>
              <c:f>'983 (nvme2n1)'!$C$10</c:f>
              <c:strCache>
                <c:ptCount val="1"/>
                <c:pt idx="0">
                  <c:v>CP</c:v>
                </c:pt>
              </c:strCache>
            </c:strRef>
          </c:tx>
          <c:spPr>
            <a:solidFill>
              <a:srgbClr val="A5A5A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(nvme2n1)'!$AE$2,'983 (nvme2n1)'!$AE$8,'983 (nvme2n1)'!$AE$14,'983 (nvme2n1)'!$AE$20,'983 (nvme2n1)'!$AE$26,'983 (nvme2n1)'!$AE$32)</c:f>
                <c:numCache>
                  <c:formatCode>General</c:formatCode>
                  <c:ptCount val="6"/>
                  <c:pt idx="0">
                    <c:v>0.96817741142830316</c:v>
                  </c:pt>
                  <c:pt idx="1">
                    <c:v>2.0800784240023251</c:v>
                  </c:pt>
                  <c:pt idx="2">
                    <c:v>2.5191898499319159</c:v>
                  </c:pt>
                  <c:pt idx="3">
                    <c:v>2.3376931738361222</c:v>
                  </c:pt>
                  <c:pt idx="4">
                    <c:v>1.8751704922486403</c:v>
                  </c:pt>
                  <c:pt idx="5">
                    <c:v>1.8482165389910383</c:v>
                  </c:pt>
                </c:numCache>
              </c:numRef>
            </c:plus>
            <c:minus>
              <c:numRef>
                <c:f>('983 (nvme2n1)'!$AE$2,'983 (nvme2n1)'!$AE$8,'983 (nvme2n1)'!$AE$14,'983 (nvme2n1)'!$AE$20,'983 (nvme2n1)'!$AE$26,'983 (nvme2n1)'!$AE$32)</c:f>
                <c:numCache>
                  <c:formatCode>General</c:formatCode>
                  <c:ptCount val="6"/>
                  <c:pt idx="0">
                    <c:v>0.96817741142830316</c:v>
                  </c:pt>
                  <c:pt idx="1">
                    <c:v>2.0800784240023251</c:v>
                  </c:pt>
                  <c:pt idx="2">
                    <c:v>2.5191898499319159</c:v>
                  </c:pt>
                  <c:pt idx="3">
                    <c:v>2.3376931738361222</c:v>
                  </c:pt>
                  <c:pt idx="4">
                    <c:v>1.8751704922486403</c:v>
                  </c:pt>
                  <c:pt idx="5">
                    <c:v>1.8482165389910383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(nvme2n1)'!$C$28:$C$34</c:f>
              <c:numCache>
                <c:formatCode>General</c:formatCode>
                <c:ptCount val="7"/>
                <c:pt idx="0">
                  <c:v>80.903500000000008</c:v>
                </c:pt>
                <c:pt idx="1">
                  <c:v>83.854500000000002</c:v>
                </c:pt>
                <c:pt idx="2">
                  <c:v>85.500999999999991</c:v>
                </c:pt>
                <c:pt idx="3">
                  <c:v>84.775000000000006</c:v>
                </c:pt>
                <c:pt idx="4">
                  <c:v>85.471499999999992</c:v>
                </c:pt>
                <c:pt idx="5">
                  <c:v>82.123000000000005</c:v>
                </c:pt>
                <c:pt idx="6" formatCode="0.0_);[Red]\(0.0\)">
                  <c:v>83.771416666666667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73-7F47-BD16-C5CAA87B9F1C}"/>
            </c:ext>
          </c:extLst>
        </c:ser>
        <c:ser>
          <c:idx val="2"/>
          <c:order val="2"/>
          <c:tx>
            <c:strRef>
              <c:f>'983 (nvme2n1)'!$D$10</c:f>
              <c:strCache>
                <c:ptCount val="1"/>
                <c:pt idx="0">
                  <c:v>HP</c:v>
                </c:pt>
              </c:strCache>
            </c:strRef>
          </c:tx>
          <c:spPr>
            <a:solidFill>
              <a:srgbClr val="C5E1B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(nvme2n1)'!$AE$3,'983 (nvme2n1)'!$AE$9,'983 (nvme2n1)'!$AE$15,'983 (nvme2n1)'!$AE$21,'983 (nvme2n1)'!$AE$27,'983 (nvme2n1)'!$AE$33)</c:f>
                <c:numCache>
                  <c:formatCode>General</c:formatCode>
                  <c:ptCount val="6"/>
                  <c:pt idx="0">
                    <c:v>1.3399981343270606</c:v>
                  </c:pt>
                  <c:pt idx="1">
                    <c:v>1.0411276938973419</c:v>
                  </c:pt>
                  <c:pt idx="2">
                    <c:v>0.84648648837415197</c:v>
                  </c:pt>
                  <c:pt idx="3">
                    <c:v>0.49194003699637995</c:v>
                  </c:pt>
                  <c:pt idx="4">
                    <c:v>1.4196253907281307</c:v>
                  </c:pt>
                  <c:pt idx="5">
                    <c:v>0.85204459977163161</c:v>
                  </c:pt>
                </c:numCache>
              </c:numRef>
            </c:plus>
            <c:minus>
              <c:numRef>
                <c:f>('983 (nvme2n1)'!$AE$3,'983 (nvme2n1)'!$AE$9,'983 (nvme2n1)'!$AE$15,'983 (nvme2n1)'!$AE$21,'983 (nvme2n1)'!$AE$27,'983 (nvme2n1)'!$AE$33)</c:f>
                <c:numCache>
                  <c:formatCode>General</c:formatCode>
                  <c:ptCount val="6"/>
                  <c:pt idx="0">
                    <c:v>1.3399981343270606</c:v>
                  </c:pt>
                  <c:pt idx="1">
                    <c:v>1.0411276938973419</c:v>
                  </c:pt>
                  <c:pt idx="2">
                    <c:v>0.84648648837415197</c:v>
                  </c:pt>
                  <c:pt idx="3">
                    <c:v>0.49194003699637995</c:v>
                  </c:pt>
                  <c:pt idx="4">
                    <c:v>1.4196253907281307</c:v>
                  </c:pt>
                  <c:pt idx="5">
                    <c:v>0.85204459977163161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(nvme2n1)'!$D$28:$D$34</c:f>
              <c:numCache>
                <c:formatCode>General</c:formatCode>
                <c:ptCount val="7"/>
                <c:pt idx="0">
                  <c:v>53.605500000000006</c:v>
                </c:pt>
                <c:pt idx="1">
                  <c:v>49.532499999999999</c:v>
                </c:pt>
                <c:pt idx="2">
                  <c:v>48.386499999999998</c:v>
                </c:pt>
                <c:pt idx="3">
                  <c:v>56.146000000000001</c:v>
                </c:pt>
                <c:pt idx="4">
                  <c:v>55.931499999999993</c:v>
                </c:pt>
                <c:pt idx="5">
                  <c:v>54.483999999999995</c:v>
                </c:pt>
                <c:pt idx="6" formatCode="0.0_);[Red]\(0.0\)">
                  <c:v>53.014333333333326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73-7F47-BD16-C5CAA87B9F1C}"/>
            </c:ext>
          </c:extLst>
        </c:ser>
        <c:ser>
          <c:idx val="3"/>
          <c:order val="3"/>
          <c:tx>
            <c:strRef>
              <c:f>'983 (nvme2n1)'!$E$10</c:f>
              <c:strCache>
                <c:ptCount val="1"/>
                <c:pt idx="0">
                  <c:v>EHP</c:v>
                </c:pt>
              </c:strCache>
            </c:strRef>
          </c:tx>
          <c:spPr>
            <a:solidFill>
              <a:srgbClr val="416DBC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(nvme2n1)'!$AE$4,'983 (nvme2n1)'!$AE$10,'983 (nvme2n1)'!$AE$16,'983 (nvme2n1)'!$AE$22,'983 (nvme2n1)'!$AE$28,'983 (nvme2n1)'!$AE$34)</c:f>
                <c:numCache>
                  <c:formatCode>General</c:formatCode>
                  <c:ptCount val="6"/>
                  <c:pt idx="0">
                    <c:v>1.2431268539453249</c:v>
                  </c:pt>
                  <c:pt idx="1">
                    <c:v>1.2422829287243702</c:v>
                  </c:pt>
                  <c:pt idx="2">
                    <c:v>1.6383553109750031</c:v>
                  </c:pt>
                  <c:pt idx="3">
                    <c:v>1.9052763907108059</c:v>
                  </c:pt>
                  <c:pt idx="4">
                    <c:v>1.8229689040134474</c:v>
                  </c:pt>
                  <c:pt idx="5">
                    <c:v>1.4009913900520587</c:v>
                  </c:pt>
                </c:numCache>
              </c:numRef>
            </c:plus>
            <c:minus>
              <c:numRef>
                <c:f>('983 (nvme2n1)'!$AE$4,'983 (nvme2n1)'!$AE$10,'983 (nvme2n1)'!$AE$16,'983 (nvme2n1)'!$AE$22,'983 (nvme2n1)'!$AE$28,'983 (nvme2n1)'!$AE$34)</c:f>
                <c:numCache>
                  <c:formatCode>General</c:formatCode>
                  <c:ptCount val="6"/>
                  <c:pt idx="0">
                    <c:v>1.2431268539453249</c:v>
                  </c:pt>
                  <c:pt idx="1">
                    <c:v>1.2422829287243702</c:v>
                  </c:pt>
                  <c:pt idx="2">
                    <c:v>1.6383553109750031</c:v>
                  </c:pt>
                  <c:pt idx="3">
                    <c:v>1.9052763907108059</c:v>
                  </c:pt>
                  <c:pt idx="4">
                    <c:v>1.8229689040134474</c:v>
                  </c:pt>
                  <c:pt idx="5">
                    <c:v>1.4009913900520587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(nvme2n1)'!$E$28:$E$34</c:f>
              <c:numCache>
                <c:formatCode>General</c:formatCode>
                <c:ptCount val="7"/>
                <c:pt idx="0">
                  <c:v>59.166499999999999</c:v>
                </c:pt>
                <c:pt idx="1">
                  <c:v>52.362000000000002</c:v>
                </c:pt>
                <c:pt idx="2">
                  <c:v>49.646499999999989</c:v>
                </c:pt>
                <c:pt idx="3">
                  <c:v>60.870000000000005</c:v>
                </c:pt>
                <c:pt idx="4">
                  <c:v>56.877499999999998</c:v>
                </c:pt>
                <c:pt idx="5">
                  <c:v>60.026499999999999</c:v>
                </c:pt>
                <c:pt idx="6" formatCode="0.0_);[Red]\(0.0\)">
                  <c:v>56.491500000000002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E73-7F47-BD16-C5CAA87B9F1C}"/>
            </c:ext>
          </c:extLst>
        </c:ser>
        <c:ser>
          <c:idx val="4"/>
          <c:order val="4"/>
          <c:tx>
            <c:strRef>
              <c:f>'983 (nvme2n1)'!$F$10</c:f>
              <c:strCache>
                <c:ptCount val="1"/>
                <c:pt idx="0">
                  <c:v>PAS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(nvme2n1)'!$AE$5,'983 (nvme2n1)'!$AE$11,'983 (nvme2n1)'!$AE$17,'983 (nvme2n1)'!$AE$23,'983 (nvme2n1)'!$AE$29,'983 (nvme2n1)'!$AE$35)</c:f>
                <c:numCache>
                  <c:formatCode>General</c:formatCode>
                  <c:ptCount val="6"/>
                  <c:pt idx="0">
                    <c:v>0.70282243490087837</c:v>
                  </c:pt>
                  <c:pt idx="1">
                    <c:v>1.305118050216147</c:v>
                  </c:pt>
                  <c:pt idx="2">
                    <c:v>0.69408347840875784</c:v>
                  </c:pt>
                  <c:pt idx="3">
                    <c:v>1.0540389580086684</c:v>
                  </c:pt>
                  <c:pt idx="4">
                    <c:v>1.7081446440509651</c:v>
                  </c:pt>
                  <c:pt idx="5">
                    <c:v>0.76307478336005818</c:v>
                  </c:pt>
                </c:numCache>
              </c:numRef>
            </c:plus>
            <c:minus>
              <c:numRef>
                <c:f>('983 (nvme2n1)'!$AE$5,'983 (nvme2n1)'!$AE$11,'983 (nvme2n1)'!$AE$17,'983 (nvme2n1)'!$AE$23,'983 (nvme2n1)'!$AE$29,'983 (nvme2n1)'!$AE$35)</c:f>
                <c:numCache>
                  <c:formatCode>General</c:formatCode>
                  <c:ptCount val="6"/>
                  <c:pt idx="0">
                    <c:v>0.70282243490087837</c:v>
                  </c:pt>
                  <c:pt idx="1">
                    <c:v>1.305118050216147</c:v>
                  </c:pt>
                  <c:pt idx="2">
                    <c:v>0.69408347840875784</c:v>
                  </c:pt>
                  <c:pt idx="3">
                    <c:v>1.0540389580086684</c:v>
                  </c:pt>
                  <c:pt idx="4">
                    <c:v>1.7081446440509651</c:v>
                  </c:pt>
                  <c:pt idx="5">
                    <c:v>0.76307478336005818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(nvme2n1)'!$F$28:$F$34</c:f>
              <c:numCache>
                <c:formatCode>General</c:formatCode>
                <c:ptCount val="7"/>
                <c:pt idx="0">
                  <c:v>53.864999999999995</c:v>
                </c:pt>
                <c:pt idx="1">
                  <c:v>45.856000000000009</c:v>
                </c:pt>
                <c:pt idx="2">
                  <c:v>42.058499999999995</c:v>
                </c:pt>
                <c:pt idx="3">
                  <c:v>56.769500000000008</c:v>
                </c:pt>
                <c:pt idx="4">
                  <c:v>57.456500000000005</c:v>
                </c:pt>
                <c:pt idx="5">
                  <c:v>57.143999999999991</c:v>
                </c:pt>
                <c:pt idx="6" formatCode="0.0_);[Red]\(0.0\)">
                  <c:v>52.191583333333334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73-7F47-BD16-C5CAA87B9F1C}"/>
            </c:ext>
          </c:extLst>
        </c:ser>
        <c:ser>
          <c:idx val="5"/>
          <c:order val="5"/>
          <c:tx>
            <c:strRef>
              <c:f>'983 (nvme2n1)'!$G$10</c:f>
              <c:strCache>
                <c:ptCount val="1"/>
                <c:pt idx="0">
                  <c:v>DPAS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('983 (nvme2n1)'!$AE$6,'983 (nvme2n1)'!$AE$12,'983 (nvme2n1)'!$AE$18,'983 (nvme2n1)'!$AE$24,'983 (nvme2n1)'!$AE$30,'983 (nvme2n1)'!$AE$36)</c:f>
                <c:numCache>
                  <c:formatCode>General</c:formatCode>
                  <c:ptCount val="6"/>
                  <c:pt idx="0">
                    <c:v>2.9275827272683514</c:v>
                  </c:pt>
                  <c:pt idx="1">
                    <c:v>3.3412436868627235</c:v>
                  </c:pt>
                  <c:pt idx="2">
                    <c:v>1.3363693819449753</c:v>
                  </c:pt>
                  <c:pt idx="3">
                    <c:v>2.0971801007543447</c:v>
                  </c:pt>
                  <c:pt idx="4">
                    <c:v>1.8833344764008304</c:v>
                  </c:pt>
                  <c:pt idx="5">
                    <c:v>1.0454185764563357</c:v>
                  </c:pt>
                </c:numCache>
              </c:numRef>
            </c:plus>
            <c:minus>
              <c:numRef>
                <c:f>('983 (nvme2n1)'!$AE$6,'983 (nvme2n1)'!$AE$12,'983 (nvme2n1)'!$AE$18,'983 (nvme2n1)'!$AE$24,'983 (nvme2n1)'!$AE$30,'983 (nvme2n1)'!$AE$36)</c:f>
                <c:numCache>
                  <c:formatCode>General</c:formatCode>
                  <c:ptCount val="6"/>
                  <c:pt idx="0">
                    <c:v>2.9275827272683514</c:v>
                  </c:pt>
                  <c:pt idx="1">
                    <c:v>3.3412436868627235</c:v>
                  </c:pt>
                  <c:pt idx="2">
                    <c:v>1.3363693819449753</c:v>
                  </c:pt>
                  <c:pt idx="3">
                    <c:v>2.0971801007543447</c:v>
                  </c:pt>
                  <c:pt idx="4">
                    <c:v>1.8833344764008304</c:v>
                  </c:pt>
                  <c:pt idx="5">
                    <c:v>1.0454185764563357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'983 (nvme2n1)'!$A$28:$A$34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'983 (nvme2n1)'!$G$28:$G$34</c:f>
              <c:numCache>
                <c:formatCode>General</c:formatCode>
                <c:ptCount val="7"/>
                <c:pt idx="0">
                  <c:v>77.429999999999993</c:v>
                </c:pt>
                <c:pt idx="1">
                  <c:v>80.195000000000007</c:v>
                </c:pt>
                <c:pt idx="2">
                  <c:v>78.134</c:v>
                </c:pt>
                <c:pt idx="3">
                  <c:v>79.768500000000003</c:v>
                </c:pt>
                <c:pt idx="4">
                  <c:v>80.531500000000008</c:v>
                </c:pt>
                <c:pt idx="5">
                  <c:v>80.327499999999986</c:v>
                </c:pt>
                <c:pt idx="6" formatCode="0.0_);[Red]\(0.0\)">
                  <c:v>79.397750000000002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E73-7F47-BD16-C5CAA87B9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90811344"/>
        <c:axId val="1462372592"/>
      </c:barChart>
      <c:catAx>
        <c:axId val="139081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462372592"/>
        <c:crosses val="autoZero"/>
        <c:auto val="1"/>
        <c:lblAlgn val="ctr"/>
        <c:lblOffset val="100"/>
        <c:noMultiLvlLbl val="0"/>
      </c:catAx>
      <c:valAx>
        <c:axId val="1462372592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390811344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'DPAS BREAK'!$B$13</c:f>
              <c:strCache>
                <c:ptCount val="1"/>
                <c:pt idx="0">
                  <c:v>Polling</c:v>
                </c:pt>
              </c:strCache>
            </c:strRef>
          </c:tx>
          <c:spPr>
            <a:pattFill prst="dkHorz">
              <a:fgClr>
                <a:srgbClr val="FF000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'DPAS BREAK'!$A$14:$A$20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BREAK'!$B$14:$B$20</c:f>
              <c:numCache>
                <c:formatCode>General</c:formatCode>
                <c:ptCount val="7"/>
                <c:pt idx="0">
                  <c:v>0.7969785417581845</c:v>
                </c:pt>
                <c:pt idx="1">
                  <c:v>0.826828755443481</c:v>
                </c:pt>
                <c:pt idx="2">
                  <c:v>0.85502237157336713</c:v>
                </c:pt>
                <c:pt idx="3">
                  <c:v>0.79537900539004525</c:v>
                </c:pt>
                <c:pt idx="4">
                  <c:v>0.85703290372237029</c:v>
                </c:pt>
                <c:pt idx="5">
                  <c:v>0.78272229353788048</c:v>
                </c:pt>
                <c:pt idx="6">
                  <c:v>0.81899397857088818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F-6340-92B1-78E1ED268FE6}"/>
            </c:ext>
          </c:extLst>
        </c:ser>
        <c:ser>
          <c:idx val="1"/>
          <c:order val="1"/>
          <c:tx>
            <c:strRef>
              <c:f>'DPAS BREAK'!$C$13</c:f>
              <c:strCache>
                <c:ptCount val="1"/>
                <c:pt idx="0">
                  <c:v>PAS normal</c:v>
                </c:pt>
              </c:strCache>
            </c:strRef>
          </c:tx>
          <c:spPr>
            <a:solidFill>
              <a:srgbClr val="FBE79A"/>
            </a:solidFill>
            <a:ln>
              <a:noFill/>
            </a:ln>
            <a:effectLst/>
          </c:spPr>
          <c:invertIfNegative val="0"/>
          <c:cat>
            <c:strRef>
              <c:f>'DPAS BREAK'!$A$14:$A$20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BREAK'!$C$14:$C$20</c:f>
              <c:numCache>
                <c:formatCode>General</c:formatCode>
                <c:ptCount val="7"/>
                <c:pt idx="0">
                  <c:v>0.11126781343840586</c:v>
                </c:pt>
                <c:pt idx="1">
                  <c:v>0.10577759943065848</c:v>
                </c:pt>
                <c:pt idx="2">
                  <c:v>0.10324658073447236</c:v>
                </c:pt>
                <c:pt idx="3">
                  <c:v>0.10705310739355202</c:v>
                </c:pt>
                <c:pt idx="4">
                  <c:v>0.11245110505952553</c:v>
                </c:pt>
                <c:pt idx="5">
                  <c:v>0.10706459159479463</c:v>
                </c:pt>
                <c:pt idx="6">
                  <c:v>0.10781013294190149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F-6340-92B1-78E1ED268FE6}"/>
            </c:ext>
          </c:extLst>
        </c:ser>
        <c:ser>
          <c:idx val="2"/>
          <c:order val="2"/>
          <c:tx>
            <c:strRef>
              <c:f>'DPAS BREAK'!$D$13</c:f>
              <c:strCache>
                <c:ptCount val="1"/>
                <c:pt idx="0">
                  <c:v>PAS overloaded</c:v>
                </c:pt>
              </c:strCache>
            </c:strRef>
          </c:tx>
          <c:spPr>
            <a:solidFill>
              <a:srgbClr val="7E6100"/>
            </a:solidFill>
            <a:ln>
              <a:noFill/>
            </a:ln>
            <a:effectLst/>
          </c:spPr>
          <c:invertIfNegative val="0"/>
          <c:cat>
            <c:strRef>
              <c:f>'DPAS BREAK'!$A$14:$A$20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BREAK'!$D$14:$D$20</c:f>
              <c:numCache>
                <c:formatCode>General</c:formatCode>
                <c:ptCount val="7"/>
                <c:pt idx="0">
                  <c:v>3.5049396282494129E-2</c:v>
                </c:pt>
                <c:pt idx="1">
                  <c:v>2.5031925332462478E-2</c:v>
                </c:pt>
                <c:pt idx="2">
                  <c:v>1.2113554653011817E-2</c:v>
                </c:pt>
                <c:pt idx="3">
                  <c:v>3.0659695095432728E-2</c:v>
                </c:pt>
                <c:pt idx="4">
                  <c:v>1.1161239916981021E-2</c:v>
                </c:pt>
                <c:pt idx="5">
                  <c:v>3.4566990070294984E-2</c:v>
                </c:pt>
                <c:pt idx="6">
                  <c:v>2.4763800225112858E-2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FF-6340-92B1-78E1ED268FE6}"/>
            </c:ext>
          </c:extLst>
        </c:ser>
        <c:ser>
          <c:idx val="3"/>
          <c:order val="3"/>
          <c:tx>
            <c:strRef>
              <c:f>'DPAS BREAK'!$E$13</c:f>
              <c:strCache>
                <c:ptCount val="1"/>
                <c:pt idx="0">
                  <c:v>Interrupt</c:v>
                </c:pt>
              </c:strCache>
            </c:strRef>
          </c:tx>
          <c:spPr>
            <a:solidFill>
              <a:srgbClr val="A6CE8A"/>
            </a:solidFill>
            <a:ln>
              <a:noFill/>
            </a:ln>
            <a:effectLst/>
          </c:spPr>
          <c:invertIfNegative val="0"/>
          <c:cat>
            <c:strRef>
              <c:f>'DPAS BREAK'!$A$14:$A$20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BREAK'!$E$14:$E$20</c:f>
              <c:numCache>
                <c:formatCode>General</c:formatCode>
                <c:ptCount val="7"/>
                <c:pt idx="0">
                  <c:v>5.6704248520915476E-2</c:v>
                </c:pt>
                <c:pt idx="1">
                  <c:v>4.2361719793398041E-2</c:v>
                </c:pt>
                <c:pt idx="2">
                  <c:v>2.96174930391487E-2</c:v>
                </c:pt>
                <c:pt idx="3">
                  <c:v>6.6908192120970017E-2</c:v>
                </c:pt>
                <c:pt idx="4">
                  <c:v>1.9354751301123158E-2</c:v>
                </c:pt>
                <c:pt idx="5">
                  <c:v>7.5646124797029937E-2</c:v>
                </c:pt>
                <c:pt idx="6">
                  <c:v>4.8432088262097557E-2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EFF-6340-92B1-78E1ED268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11568"/>
        <c:axId val="1106457696"/>
      </c:barChart>
      <c:catAx>
        <c:axId val="75441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106457696"/>
        <c:crosses val="autoZero"/>
        <c:auto val="1"/>
        <c:lblAlgn val="ctr"/>
        <c:lblOffset val="100"/>
        <c:noMultiLvlLbl val="0"/>
      </c:catAx>
      <c:valAx>
        <c:axId val="1106457696"/>
        <c:scaling>
          <c:orientation val="minMax"/>
          <c:max val="1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44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'DPAS BREAK'!$B$13</c:f>
              <c:strCache>
                <c:ptCount val="1"/>
                <c:pt idx="0">
                  <c:v>Polling</c:v>
                </c:pt>
              </c:strCache>
            </c:strRef>
          </c:tx>
          <c:spPr>
            <a:pattFill prst="dkHorz">
              <a:fgClr>
                <a:srgbClr val="FF000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'DPAS BREAK'!$A$32:$A$38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BREAK'!$B$32:$B$38</c:f>
              <c:numCache>
                <c:formatCode>General</c:formatCode>
                <c:ptCount val="7"/>
                <c:pt idx="0">
                  <c:v>0.71361919825383091</c:v>
                </c:pt>
                <c:pt idx="1">
                  <c:v>0.77703889439441753</c:v>
                </c:pt>
                <c:pt idx="2">
                  <c:v>0.790191291249143</c:v>
                </c:pt>
                <c:pt idx="3">
                  <c:v>0.72076856292698588</c:v>
                </c:pt>
                <c:pt idx="4">
                  <c:v>0.70591570937294212</c:v>
                </c:pt>
                <c:pt idx="5">
                  <c:v>0.71559609087371467</c:v>
                </c:pt>
                <c:pt idx="6">
                  <c:v>0.73718829117850582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5-4A41-96B8-B9A3CA763C0D}"/>
            </c:ext>
          </c:extLst>
        </c:ser>
        <c:ser>
          <c:idx val="1"/>
          <c:order val="1"/>
          <c:tx>
            <c:strRef>
              <c:f>'DPAS BREAK'!$C$13</c:f>
              <c:strCache>
                <c:ptCount val="1"/>
                <c:pt idx="0">
                  <c:v>PAS normal</c:v>
                </c:pt>
              </c:strCache>
            </c:strRef>
          </c:tx>
          <c:spPr>
            <a:solidFill>
              <a:srgbClr val="FBE79A"/>
            </a:solidFill>
            <a:ln>
              <a:noFill/>
            </a:ln>
            <a:effectLst/>
          </c:spPr>
          <c:invertIfNegative val="0"/>
          <c:cat>
            <c:strRef>
              <c:f>'DPAS BREAK'!$A$32:$A$38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BREAK'!$C$32:$C$38</c:f>
              <c:numCache>
                <c:formatCode>General</c:formatCode>
                <c:ptCount val="7"/>
                <c:pt idx="0">
                  <c:v>0.1911873696260239</c:v>
                </c:pt>
                <c:pt idx="1">
                  <c:v>0.17289230846880888</c:v>
                </c:pt>
                <c:pt idx="2">
                  <c:v>0.15967410195230397</c:v>
                </c:pt>
                <c:pt idx="3">
                  <c:v>0.16039082799609078</c:v>
                </c:pt>
                <c:pt idx="4">
                  <c:v>0.18172391085499176</c:v>
                </c:pt>
                <c:pt idx="5">
                  <c:v>0.18410541763203706</c:v>
                </c:pt>
                <c:pt idx="6">
                  <c:v>0.17499565608837608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5-4A41-96B8-B9A3CA763C0D}"/>
            </c:ext>
          </c:extLst>
        </c:ser>
        <c:ser>
          <c:idx val="2"/>
          <c:order val="2"/>
          <c:tx>
            <c:strRef>
              <c:f>'DPAS BREAK'!$D$13</c:f>
              <c:strCache>
                <c:ptCount val="1"/>
                <c:pt idx="0">
                  <c:v>PAS overloaded</c:v>
                </c:pt>
              </c:strCache>
            </c:strRef>
          </c:tx>
          <c:spPr>
            <a:solidFill>
              <a:srgbClr val="7E6100"/>
            </a:solidFill>
            <a:ln>
              <a:noFill/>
            </a:ln>
            <a:effectLst/>
          </c:spPr>
          <c:invertIfNegative val="0"/>
          <c:cat>
            <c:strRef>
              <c:f>'DPAS BREAK'!$A$32:$A$38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BREAK'!$D$32:$D$38</c:f>
              <c:numCache>
                <c:formatCode>General</c:formatCode>
                <c:ptCount val="7"/>
                <c:pt idx="0">
                  <c:v>1.8011371179004344E-3</c:v>
                </c:pt>
                <c:pt idx="1">
                  <c:v>9.4165257012769187E-4</c:v>
                </c:pt>
                <c:pt idx="2">
                  <c:v>1.0396577446704545E-3</c:v>
                </c:pt>
                <c:pt idx="3">
                  <c:v>2.1432100766723664E-3</c:v>
                </c:pt>
                <c:pt idx="4">
                  <c:v>1.6399936418708039E-3</c:v>
                </c:pt>
                <c:pt idx="5">
                  <c:v>1.9897258386123587E-3</c:v>
                </c:pt>
                <c:pt idx="6">
                  <c:v>1.5925628316423516E-3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5-4A41-96B8-B9A3CA763C0D}"/>
            </c:ext>
          </c:extLst>
        </c:ser>
        <c:ser>
          <c:idx val="3"/>
          <c:order val="3"/>
          <c:tx>
            <c:strRef>
              <c:f>'DPAS BREAK'!$E$13</c:f>
              <c:strCache>
                <c:ptCount val="1"/>
                <c:pt idx="0">
                  <c:v>Interrupt</c:v>
                </c:pt>
              </c:strCache>
            </c:strRef>
          </c:tx>
          <c:spPr>
            <a:solidFill>
              <a:srgbClr val="A6CE8A"/>
            </a:solidFill>
            <a:ln>
              <a:noFill/>
            </a:ln>
            <a:effectLst/>
          </c:spPr>
          <c:invertIfNegative val="0"/>
          <c:cat>
            <c:strRef>
              <c:f>'DPAS BREAK'!$A$32:$A$38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BREAK'!$E$32:$E$38</c:f>
              <c:numCache>
                <c:formatCode>General</c:formatCode>
                <c:ptCount val="7"/>
                <c:pt idx="0">
                  <c:v>9.3392295002244746E-2</c:v>
                </c:pt>
                <c:pt idx="1">
                  <c:v>4.9127144566645839E-2</c:v>
                </c:pt>
                <c:pt idx="2">
                  <c:v>4.9094949053882571E-2</c:v>
                </c:pt>
                <c:pt idx="3">
                  <c:v>0.11669739900025095</c:v>
                </c:pt>
                <c:pt idx="4">
                  <c:v>0.11072038613019532</c:v>
                </c:pt>
                <c:pt idx="5">
                  <c:v>9.8308765655635871E-2</c:v>
                </c:pt>
                <c:pt idx="6">
                  <c:v>8.622348990147588E-2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D5-4A41-96B8-B9A3CA763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11568"/>
        <c:axId val="1106457696"/>
      </c:barChart>
      <c:catAx>
        <c:axId val="75441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106457696"/>
        <c:crosses val="autoZero"/>
        <c:auto val="1"/>
        <c:lblAlgn val="ctr"/>
        <c:lblOffset val="100"/>
        <c:noMultiLvlLbl val="0"/>
      </c:catAx>
      <c:valAx>
        <c:axId val="1106457696"/>
        <c:scaling>
          <c:orientation val="minMax"/>
          <c:max val="1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44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'DPAS BREAK'!$B$13</c:f>
              <c:strCache>
                <c:ptCount val="1"/>
                <c:pt idx="0">
                  <c:v>Polling</c:v>
                </c:pt>
              </c:strCache>
            </c:strRef>
          </c:tx>
          <c:spPr>
            <a:pattFill prst="dkHorz">
              <a:fgClr>
                <a:srgbClr val="FF0000"/>
              </a:fgClr>
              <a:bgClr>
                <a:schemeClr val="bg1"/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'DPAS BREAK'!$A$50:$A$56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BREAK'!$B$50:$B$56</c:f>
              <c:numCache>
                <c:formatCode>General</c:formatCode>
                <c:ptCount val="7"/>
                <c:pt idx="0">
                  <c:v>0.63832319999999998</c:v>
                </c:pt>
                <c:pt idx="1">
                  <c:v>0.73184970000000005</c:v>
                </c:pt>
                <c:pt idx="2">
                  <c:v>0.77431839999999996</c:v>
                </c:pt>
                <c:pt idx="3">
                  <c:v>0.65249639000000004</c:v>
                </c:pt>
                <c:pt idx="4">
                  <c:v>0.83359638000000003</c:v>
                </c:pt>
                <c:pt idx="5">
                  <c:v>0.61528503000000001</c:v>
                </c:pt>
                <c:pt idx="6">
                  <c:v>0.70764484999999999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E-984E-9077-B3E2EF5791C4}"/>
            </c:ext>
          </c:extLst>
        </c:ser>
        <c:ser>
          <c:idx val="1"/>
          <c:order val="1"/>
          <c:tx>
            <c:strRef>
              <c:f>'DPAS BREAK'!$C$13</c:f>
              <c:strCache>
                <c:ptCount val="1"/>
                <c:pt idx="0">
                  <c:v>PAS normal</c:v>
                </c:pt>
              </c:strCache>
            </c:strRef>
          </c:tx>
          <c:spPr>
            <a:solidFill>
              <a:srgbClr val="FBE79A"/>
            </a:solidFill>
            <a:ln>
              <a:noFill/>
            </a:ln>
            <a:effectLst/>
          </c:spPr>
          <c:invertIfNegative val="0"/>
          <c:cat>
            <c:strRef>
              <c:f>'DPAS BREAK'!$A$50:$A$56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BREAK'!$C$50:$C$56</c:f>
              <c:numCache>
                <c:formatCode>General</c:formatCode>
                <c:ptCount val="7"/>
                <c:pt idx="0">
                  <c:v>0.15756883999999999</c:v>
                </c:pt>
                <c:pt idx="1">
                  <c:v>0.15271599999999999</c:v>
                </c:pt>
                <c:pt idx="2">
                  <c:v>0.12118559</c:v>
                </c:pt>
                <c:pt idx="3">
                  <c:v>0.15161683000000001</c:v>
                </c:pt>
                <c:pt idx="4">
                  <c:v>0.13503446</c:v>
                </c:pt>
                <c:pt idx="5">
                  <c:v>0.15421652</c:v>
                </c:pt>
                <c:pt idx="6">
                  <c:v>0.14538971000000001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E-984E-9077-B3E2EF5791C4}"/>
            </c:ext>
          </c:extLst>
        </c:ser>
        <c:ser>
          <c:idx val="2"/>
          <c:order val="2"/>
          <c:tx>
            <c:strRef>
              <c:f>'DPAS BREAK'!$D$13</c:f>
              <c:strCache>
                <c:ptCount val="1"/>
                <c:pt idx="0">
                  <c:v>PAS overloaded</c:v>
                </c:pt>
              </c:strCache>
            </c:strRef>
          </c:tx>
          <c:spPr>
            <a:solidFill>
              <a:srgbClr val="7E6100"/>
            </a:solidFill>
            <a:ln>
              <a:noFill/>
            </a:ln>
            <a:effectLst/>
          </c:spPr>
          <c:invertIfNegative val="0"/>
          <c:cat>
            <c:strRef>
              <c:f>'DPAS BREAK'!$A$50:$A$56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BREAK'!$D$50:$D$56</c:f>
              <c:numCache>
                <c:formatCode>General</c:formatCode>
                <c:ptCount val="7"/>
                <c:pt idx="0">
                  <c:v>3.3891899999999998E-3</c:v>
                </c:pt>
                <c:pt idx="1">
                  <c:v>2.2348699999999999E-3</c:v>
                </c:pt>
                <c:pt idx="2">
                  <c:v>2.1896400000000001E-3</c:v>
                </c:pt>
                <c:pt idx="3">
                  <c:v>3.0852100000000001E-3</c:v>
                </c:pt>
                <c:pt idx="4">
                  <c:v>7.3521000000000003E-4</c:v>
                </c:pt>
                <c:pt idx="5">
                  <c:v>3.6617899999999998E-3</c:v>
                </c:pt>
                <c:pt idx="6">
                  <c:v>2.5493199999999999E-3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0E-984E-9077-B3E2EF5791C4}"/>
            </c:ext>
          </c:extLst>
        </c:ser>
        <c:ser>
          <c:idx val="3"/>
          <c:order val="3"/>
          <c:tx>
            <c:strRef>
              <c:f>'DPAS BREAK'!$E$13</c:f>
              <c:strCache>
                <c:ptCount val="1"/>
                <c:pt idx="0">
                  <c:v>Interrupt</c:v>
                </c:pt>
              </c:strCache>
            </c:strRef>
          </c:tx>
          <c:spPr>
            <a:solidFill>
              <a:srgbClr val="A6CE8A"/>
            </a:solidFill>
            <a:ln>
              <a:noFill/>
            </a:ln>
            <a:effectLst/>
          </c:spPr>
          <c:invertIfNegative val="0"/>
          <c:cat>
            <c:strRef>
              <c:f>'DPAS BREAK'!$A$50:$A$56</c:f>
              <c:strCache>
                <c:ptCount val="7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Ave</c:v>
                </c:pt>
              </c:strCache>
            </c:strRef>
          </c:cat>
          <c:val>
            <c:numRef>
              <c:f>'DPAS BREAK'!$E$50:$E$56</c:f>
              <c:numCache>
                <c:formatCode>General</c:formatCode>
                <c:ptCount val="7"/>
                <c:pt idx="0">
                  <c:v>0.20071876999999999</c:v>
                </c:pt>
                <c:pt idx="1">
                  <c:v>0.11319943</c:v>
                </c:pt>
                <c:pt idx="2">
                  <c:v>0.10230636999999999</c:v>
                </c:pt>
                <c:pt idx="3">
                  <c:v>0.19280156000000001</c:v>
                </c:pt>
                <c:pt idx="4">
                  <c:v>3.063395E-2</c:v>
                </c:pt>
                <c:pt idx="5">
                  <c:v>0.22683666</c:v>
                </c:pt>
                <c:pt idx="6">
                  <c:v>0.14441612000000001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0E-984E-9077-B3E2EF579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754411568"/>
        <c:axId val="1106457696"/>
      </c:barChart>
      <c:catAx>
        <c:axId val="7544115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/>
                </a:solidFill>
                <a:latin typeface="Helvetica Neue" panose="02000503000000020004" pitchFamily="2" charset="0"/>
                <a:ea typeface="+mn-ea"/>
                <a:cs typeface="+mn-cs"/>
              </a:defRPr>
            </a:pPr>
            <a:endParaRPr lang="ko-KR"/>
          </a:p>
        </c:txPr>
        <c:crossAx val="1106457696"/>
        <c:crosses val="autoZero"/>
        <c:auto val="1"/>
        <c:lblAlgn val="ctr"/>
        <c:lblOffset val="100"/>
        <c:noMultiLvlLbl val="0"/>
      </c:catAx>
      <c:valAx>
        <c:axId val="1106457696"/>
        <c:scaling>
          <c:orientation val="minMax"/>
          <c:max val="1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75441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image" Target="../media/image1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image" Target="../media/image20.png"/><Relationship Id="rId4" Type="http://schemas.openxmlformats.org/officeDocument/2006/relationships/customXml" Target="../ink/ink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4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C0F9C80-5DFF-6643-8237-6BD3081582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8643CD4-2345-C546-BC01-5A90F9225F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B8DF6BA-873D-A744-9F51-5FCB2578B9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5DE2A78-6B2A-9C43-8166-56F6D7BA8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C5E652-54DE-5D44-AD80-009635E243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33A5BC4-5009-E349-956B-C7B328DAF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366E178-78B1-9846-B401-088BDC0213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4757C535-3A9B-1B4F-BD1B-7EC64621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2EFF2576-F8C0-974A-A949-363D6F3275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FFC7019-3FB3-174F-ABAF-251CA7CE62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859874C-A7B0-384F-9741-E4D327997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726120</xdr:colOff>
      <xdr:row>32</xdr:row>
      <xdr:rowOff>45000</xdr:rowOff>
    </xdr:from>
    <xdr:to>
      <xdr:col>0</xdr:col>
      <xdr:colOff>728640</xdr:colOff>
      <xdr:row>32</xdr:row>
      <xdr:rowOff>47520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잉크 5">
              <a:extLst>
                <a:ext uri="{FF2B5EF4-FFF2-40B4-BE49-F238E27FC236}">
                  <a16:creationId xmlns:a16="http://schemas.microsoft.com/office/drawing/2014/main" id="{5368A479-A90F-77E8-B3F0-098B045C7DD7}"/>
                </a:ext>
              </a:extLst>
            </xdr14:cNvPr>
            <xdr14:cNvContentPartPr/>
          </xdr14:nvContentPartPr>
          <xdr14:nvPr macro=""/>
          <xdr14:xfrm>
            <a:off x="726120" y="7360200"/>
            <a:ext cx="2520" cy="2520"/>
          </xdr14:xfrm>
        </xdr:contentPart>
      </mc:Choice>
      <mc:Fallback xmlns="">
        <xdr:pic>
          <xdr:nvPicPr>
            <xdr:cNvPr id="6" name="잉크 5">
              <a:extLst>
                <a:ext uri="{FF2B5EF4-FFF2-40B4-BE49-F238E27FC236}">
                  <a16:creationId xmlns:a16="http://schemas.microsoft.com/office/drawing/2014/main" id="{5368A479-A90F-77E8-B3F0-098B045C7DD7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17480" y="7351560"/>
              <a:ext cx="2016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1E476A84-ED13-BA4E-AE46-AB149930B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E58F4E75-5E9A-4D4F-9196-0792753523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5626B3DF-85F3-5645-B219-DC54D53CEE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7688C1F8-4DC7-FC46-AC7A-F6F02E52B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73DDBCF1-721F-C54F-B30C-0FE2BB9F8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87C0AF81-7B9D-DF4E-B378-01FC1BB629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4F8A1887-B236-4049-8491-EB3C848B66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96B29F8F-2012-734B-843D-599C473934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131A004-82B3-EF43-A717-8D1FE1D9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12</xdr:col>
      <xdr:colOff>800100</xdr:colOff>
      <xdr:row>12</xdr:row>
      <xdr:rowOff>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A79A14E-DA09-B847-B542-337267B1EF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12</xdr:col>
      <xdr:colOff>800100</xdr:colOff>
      <xdr:row>23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806A9F8-1FA9-E346-AECD-1C99897B87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28</xdr:row>
      <xdr:rowOff>0</xdr:rowOff>
    </xdr:from>
    <xdr:to>
      <xdr:col>12</xdr:col>
      <xdr:colOff>800100</xdr:colOff>
      <xdr:row>36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74E8EB6-D17D-614C-9E4F-4816B1168B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15</xdr:col>
      <xdr:colOff>444500</xdr:colOff>
      <xdr:row>1</xdr:row>
      <xdr:rowOff>165100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351FC9AE-B34B-9744-AFCD-9FC594676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0"/>
          <a:ext cx="5207000" cy="3937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10</xdr:col>
      <xdr:colOff>800100</xdr:colOff>
      <xdr:row>11</xdr:row>
      <xdr:rowOff>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338BFB32-B431-9248-9555-8413F83A29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10</xdr:col>
      <xdr:colOff>800100</xdr:colOff>
      <xdr:row>23</xdr:row>
      <xdr:rowOff>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29D9ED46-B1BD-3742-9062-633EDC137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0</xdr:colOff>
      <xdr:row>0</xdr:row>
      <xdr:rowOff>0</xdr:rowOff>
    </xdr:from>
    <xdr:ext cx="4572977" cy="384907"/>
    <xdr:pic>
      <xdr:nvPicPr>
        <xdr:cNvPr id="4" name="그림 6">
          <a:extLst>
            <a:ext uri="{FF2B5EF4-FFF2-40B4-BE49-F238E27FC236}">
              <a16:creationId xmlns:a16="http://schemas.microsoft.com/office/drawing/2014/main" id="{DDEA3C79-863C-F642-BB44-2CC864D7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8500" y="0"/>
          <a:ext cx="4572977" cy="384907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10</xdr:col>
      <xdr:colOff>800100</xdr:colOff>
      <xdr:row>11</xdr:row>
      <xdr:rowOff>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CD370842-3C82-6447-830A-14A218ACD2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10</xdr:col>
      <xdr:colOff>800100</xdr:colOff>
      <xdr:row>23</xdr:row>
      <xdr:rowOff>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AC824F6E-4DB0-0946-A078-8202FA73B0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0</xdr:colOff>
      <xdr:row>0</xdr:row>
      <xdr:rowOff>0</xdr:rowOff>
    </xdr:from>
    <xdr:ext cx="4572977" cy="384907"/>
    <xdr:pic>
      <xdr:nvPicPr>
        <xdr:cNvPr id="4" name="그림 4">
          <a:extLst>
            <a:ext uri="{FF2B5EF4-FFF2-40B4-BE49-F238E27FC236}">
              <a16:creationId xmlns:a16="http://schemas.microsoft.com/office/drawing/2014/main" id="{4FA9D458-140B-C14B-AFBF-6C1E81C1F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8500" y="0"/>
          <a:ext cx="4572977" cy="384907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10</xdr:col>
      <xdr:colOff>800100</xdr:colOff>
      <xdr:row>11</xdr:row>
      <xdr:rowOff>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610F88BF-DFF3-E34B-85BE-84D8A8EF0B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10</xdr:col>
      <xdr:colOff>800100</xdr:colOff>
      <xdr:row>23</xdr:row>
      <xdr:rowOff>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1D7E5208-CD62-0845-A908-EEA65A5AE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0</xdr:colOff>
      <xdr:row>0</xdr:row>
      <xdr:rowOff>0</xdr:rowOff>
    </xdr:from>
    <xdr:ext cx="4572977" cy="384907"/>
    <xdr:pic>
      <xdr:nvPicPr>
        <xdr:cNvPr id="4" name="그림 4">
          <a:extLst>
            <a:ext uri="{FF2B5EF4-FFF2-40B4-BE49-F238E27FC236}">
              <a16:creationId xmlns:a16="http://schemas.microsoft.com/office/drawing/2014/main" id="{E082D283-E7D9-034D-8813-E789A6ED7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8500" y="0"/>
          <a:ext cx="4572977" cy="384907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15</xdr:row>
      <xdr:rowOff>12700</xdr:rowOff>
    </xdr:from>
    <xdr:to>
      <xdr:col>11</xdr:col>
      <xdr:colOff>866140</xdr:colOff>
      <xdr:row>25</xdr:row>
      <xdr:rowOff>12700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93711650-D0A3-0048-9D39-0847EC9C82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31</xdr:row>
      <xdr:rowOff>0</xdr:rowOff>
    </xdr:from>
    <xdr:to>
      <xdr:col>11</xdr:col>
      <xdr:colOff>853440</xdr:colOff>
      <xdr:row>41</xdr:row>
      <xdr:rowOff>0</xdr:rowOff>
    </xdr:to>
    <xdr:graphicFrame macro="">
      <xdr:nvGraphicFramePr>
        <xdr:cNvPr id="3" name="차트 3">
          <a:extLst>
            <a:ext uri="{FF2B5EF4-FFF2-40B4-BE49-F238E27FC236}">
              <a16:creationId xmlns:a16="http://schemas.microsoft.com/office/drawing/2014/main" id="{E976B200-7F7D-9E4F-8BDA-D7C48E5014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0</xdr:colOff>
      <xdr:row>48</xdr:row>
      <xdr:rowOff>0</xdr:rowOff>
    </xdr:from>
    <xdr:to>
      <xdr:col>11</xdr:col>
      <xdr:colOff>853440</xdr:colOff>
      <xdr:row>58</xdr:row>
      <xdr:rowOff>0</xdr:rowOff>
    </xdr:to>
    <xdr:graphicFrame macro="">
      <xdr:nvGraphicFramePr>
        <xdr:cNvPr id="4" name="차트 4">
          <a:extLst>
            <a:ext uri="{FF2B5EF4-FFF2-40B4-BE49-F238E27FC236}">
              <a16:creationId xmlns:a16="http://schemas.microsoft.com/office/drawing/2014/main" id="{03099CE3-575D-274A-8562-F235F0EF1A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7</xdr:col>
      <xdr:colOff>0</xdr:colOff>
      <xdr:row>13</xdr:row>
      <xdr:rowOff>0</xdr:rowOff>
    </xdr:from>
    <xdr:ext cx="4279900" cy="393700"/>
    <xdr:pic>
      <xdr:nvPicPr>
        <xdr:cNvPr id="5" name="그림 5">
          <a:extLst>
            <a:ext uri="{FF2B5EF4-FFF2-40B4-BE49-F238E27FC236}">
              <a16:creationId xmlns:a16="http://schemas.microsoft.com/office/drawing/2014/main" id="{8A579974-3F0B-624A-95D7-023E1FF84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8500" y="2641600"/>
          <a:ext cx="4279900" cy="3937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29</xdr:row>
      <xdr:rowOff>0</xdr:rowOff>
    </xdr:from>
    <xdr:ext cx="4279900" cy="393700"/>
    <xdr:pic>
      <xdr:nvPicPr>
        <xdr:cNvPr id="6" name="그림 6">
          <a:extLst>
            <a:ext uri="{FF2B5EF4-FFF2-40B4-BE49-F238E27FC236}">
              <a16:creationId xmlns:a16="http://schemas.microsoft.com/office/drawing/2014/main" id="{E587293A-D95B-7B4F-BD87-9BB7F46CE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8500" y="5892800"/>
          <a:ext cx="4279900" cy="3937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46</xdr:row>
      <xdr:rowOff>0</xdr:rowOff>
    </xdr:from>
    <xdr:ext cx="4279900" cy="393700"/>
    <xdr:pic>
      <xdr:nvPicPr>
        <xdr:cNvPr id="7" name="그림 7">
          <a:extLst>
            <a:ext uri="{FF2B5EF4-FFF2-40B4-BE49-F238E27FC236}">
              <a16:creationId xmlns:a16="http://schemas.microsoft.com/office/drawing/2014/main" id="{FCB0B725-2043-BB4E-91D0-0C52270F6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78500" y="9347200"/>
          <a:ext cx="4279900" cy="393700"/>
        </a:xfrm>
        <a:prstGeom prst="rect">
          <a:avLst/>
        </a:prstGeom>
      </xdr:spPr>
    </xdr:pic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4-16T05:40:29.15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7 1 8191,'-3'3'0,"0"0"0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0EED4-8AC9-6F49-986D-E9F93F0FC89A}">
  <dimension ref="A1:K147"/>
  <sheetViews>
    <sheetView topLeftCell="A7" zoomScaleNormal="100" workbookViewId="0">
      <selection activeCell="H46" sqref="H46"/>
    </sheetView>
  </sheetViews>
  <sheetFormatPr defaultColWidth="10.6640625" defaultRowHeight="15.7"/>
  <cols>
    <col min="1" max="1" width="10.6640625" style="4"/>
  </cols>
  <sheetData>
    <row r="1" spans="1:10">
      <c r="A1" s="4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5">
        <v>1</v>
      </c>
      <c r="B2">
        <f>C35</f>
        <v>169.8</v>
      </c>
      <c r="C2">
        <f>D35</f>
        <v>160.4</v>
      </c>
      <c r="D2">
        <f>E35</f>
        <v>160.4</v>
      </c>
      <c r="E2">
        <f>F35</f>
        <v>160.6</v>
      </c>
      <c r="F2">
        <f>G35</f>
        <v>168.6</v>
      </c>
      <c r="G2">
        <f t="shared" ref="G2:G7" si="0">B35</f>
        <v>131.19999999999999</v>
      </c>
      <c r="J2" t="s">
        <v>11</v>
      </c>
    </row>
    <row r="3" spans="1:10">
      <c r="A3" s="5">
        <v>2</v>
      </c>
      <c r="B3">
        <f t="shared" ref="B3:F7" si="1">C36</f>
        <v>329.6</v>
      </c>
      <c r="C3">
        <f t="shared" si="1"/>
        <v>311.8</v>
      </c>
      <c r="D3">
        <f t="shared" si="1"/>
        <v>311.60000000000002</v>
      </c>
      <c r="E3">
        <f t="shared" si="1"/>
        <v>312</v>
      </c>
      <c r="F3">
        <f t="shared" si="1"/>
        <v>326</v>
      </c>
      <c r="G3">
        <f t="shared" si="0"/>
        <v>254.6</v>
      </c>
    </row>
    <row r="4" spans="1:10">
      <c r="A4" s="5">
        <v>4</v>
      </c>
      <c r="B4">
        <f t="shared" si="1"/>
        <v>642</v>
      </c>
      <c r="C4">
        <f t="shared" si="1"/>
        <v>609.79999999999995</v>
      </c>
      <c r="D4">
        <f t="shared" si="1"/>
        <v>608</v>
      </c>
      <c r="E4">
        <f t="shared" si="1"/>
        <v>608</v>
      </c>
      <c r="F4">
        <f t="shared" si="1"/>
        <v>630.4</v>
      </c>
      <c r="G4">
        <f t="shared" si="0"/>
        <v>494.6</v>
      </c>
    </row>
    <row r="5" spans="1:10">
      <c r="A5" s="5">
        <v>8</v>
      </c>
      <c r="B5">
        <f t="shared" si="1"/>
        <v>850.2</v>
      </c>
      <c r="C5">
        <f t="shared" si="1"/>
        <v>850.8</v>
      </c>
      <c r="D5">
        <f t="shared" si="1"/>
        <v>850.8</v>
      </c>
      <c r="E5">
        <f t="shared" si="1"/>
        <v>850.2</v>
      </c>
      <c r="F5">
        <f t="shared" si="1"/>
        <v>850.2</v>
      </c>
      <c r="G5">
        <f t="shared" si="0"/>
        <v>842</v>
      </c>
    </row>
    <row r="6" spans="1:10">
      <c r="A6" s="5">
        <v>16</v>
      </c>
      <c r="B6">
        <f t="shared" si="1"/>
        <v>852.4</v>
      </c>
      <c r="C6">
        <f t="shared" si="1"/>
        <v>852.6</v>
      </c>
      <c r="D6">
        <f t="shared" si="1"/>
        <v>852.2</v>
      </c>
      <c r="E6">
        <f t="shared" si="1"/>
        <v>852.2</v>
      </c>
      <c r="F6">
        <f t="shared" si="1"/>
        <v>852.6</v>
      </c>
      <c r="G6">
        <f t="shared" si="0"/>
        <v>848.6</v>
      </c>
    </row>
    <row r="7" spans="1:10">
      <c r="A7" s="5">
        <v>20</v>
      </c>
      <c r="B7">
        <f t="shared" si="1"/>
        <v>857</v>
      </c>
      <c r="C7">
        <f t="shared" si="1"/>
        <v>857</v>
      </c>
      <c r="D7">
        <f t="shared" si="1"/>
        <v>857</v>
      </c>
      <c r="E7">
        <f t="shared" si="1"/>
        <v>857</v>
      </c>
      <c r="F7">
        <f t="shared" si="1"/>
        <v>855.8</v>
      </c>
      <c r="G7">
        <f t="shared" si="0"/>
        <v>852</v>
      </c>
    </row>
    <row r="13" spans="1:10">
      <c r="A13" s="4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5">
        <f>A2</f>
        <v>1</v>
      </c>
      <c r="B14" s="1">
        <f t="shared" ref="B14:G19" si="2">B2/$G2*100</f>
        <v>129.42073170731709</v>
      </c>
      <c r="C14" s="1">
        <f t="shared" si="2"/>
        <v>122.25609756097562</v>
      </c>
      <c r="D14" s="1">
        <f t="shared" si="2"/>
        <v>122.25609756097562</v>
      </c>
      <c r="E14" s="1">
        <f t="shared" si="2"/>
        <v>122.40853658536585</v>
      </c>
      <c r="F14" s="1">
        <f t="shared" si="2"/>
        <v>128.5060975609756</v>
      </c>
      <c r="G14" s="1">
        <f t="shared" si="2"/>
        <v>100</v>
      </c>
      <c r="H14" s="1"/>
      <c r="I14" s="1"/>
    </row>
    <row r="15" spans="1:10">
      <c r="A15" s="5">
        <f>A3</f>
        <v>2</v>
      </c>
      <c r="B15" s="1">
        <f t="shared" si="2"/>
        <v>129.45797329143755</v>
      </c>
      <c r="C15" s="1">
        <f t="shared" si="2"/>
        <v>122.46661429693637</v>
      </c>
      <c r="D15" s="1">
        <f t="shared" si="2"/>
        <v>122.38805970149255</v>
      </c>
      <c r="E15" s="1">
        <f t="shared" si="2"/>
        <v>122.5451688923802</v>
      </c>
      <c r="F15" s="1">
        <f t="shared" si="2"/>
        <v>128.04399057344855</v>
      </c>
      <c r="G15" s="1">
        <f t="shared" si="2"/>
        <v>100</v>
      </c>
      <c r="H15" s="1"/>
      <c r="I15" s="1"/>
      <c r="J15" t="s">
        <v>10</v>
      </c>
    </row>
    <row r="16" spans="1:10">
      <c r="A16" s="5">
        <f>A4</f>
        <v>4</v>
      </c>
      <c r="B16" s="1">
        <f t="shared" si="2"/>
        <v>129.80186008896078</v>
      </c>
      <c r="C16" s="1">
        <f t="shared" si="2"/>
        <v>123.29154872624342</v>
      </c>
      <c r="D16" s="1">
        <f t="shared" si="2"/>
        <v>122.92761827739587</v>
      </c>
      <c r="E16" s="1">
        <f t="shared" si="2"/>
        <v>122.92761827739587</v>
      </c>
      <c r="F16" s="1">
        <f t="shared" si="2"/>
        <v>127.45653052972096</v>
      </c>
      <c r="G16" s="1">
        <f t="shared" si="2"/>
        <v>100</v>
      </c>
      <c r="H16" s="1"/>
      <c r="I16" s="1"/>
    </row>
    <row r="17" spans="1:10">
      <c r="A17" s="5">
        <f>A5</f>
        <v>8</v>
      </c>
      <c r="B17" s="1">
        <f t="shared" si="2"/>
        <v>100.97387173396675</v>
      </c>
      <c r="C17" s="1">
        <f t="shared" si="2"/>
        <v>101.04513064133016</v>
      </c>
      <c r="D17" s="1">
        <f t="shared" si="2"/>
        <v>101.04513064133016</v>
      </c>
      <c r="E17" s="1">
        <f t="shared" si="2"/>
        <v>100.97387173396675</v>
      </c>
      <c r="F17" s="1">
        <f t="shared" si="2"/>
        <v>100.97387173396675</v>
      </c>
      <c r="G17" s="1">
        <f t="shared" si="2"/>
        <v>100</v>
      </c>
      <c r="H17" s="1"/>
      <c r="I17" s="1"/>
    </row>
    <row r="18" spans="1:10">
      <c r="A18" s="5">
        <f>A6</f>
        <v>16</v>
      </c>
      <c r="B18" s="1">
        <f t="shared" si="2"/>
        <v>100.44779637049257</v>
      </c>
      <c r="C18" s="1">
        <f t="shared" si="2"/>
        <v>100.47136460051851</v>
      </c>
      <c r="D18" s="1">
        <f t="shared" si="2"/>
        <v>100.42422814046665</v>
      </c>
      <c r="E18" s="1">
        <f t="shared" si="2"/>
        <v>100.42422814046665</v>
      </c>
      <c r="F18" s="1">
        <f t="shared" si="2"/>
        <v>100.47136460051851</v>
      </c>
      <c r="G18" s="1">
        <f t="shared" si="2"/>
        <v>100</v>
      </c>
      <c r="H18" s="1"/>
      <c r="I18" s="1"/>
    </row>
    <row r="19" spans="1:10">
      <c r="A19" s="5">
        <v>20</v>
      </c>
      <c r="B19" s="1">
        <f t="shared" si="2"/>
        <v>100.5868544600939</v>
      </c>
      <c r="C19" s="1">
        <f t="shared" si="2"/>
        <v>100.5868544600939</v>
      </c>
      <c r="D19" s="1">
        <f t="shared" si="2"/>
        <v>100.5868544600939</v>
      </c>
      <c r="E19" s="1">
        <f t="shared" si="2"/>
        <v>100.5868544600939</v>
      </c>
      <c r="F19" s="1">
        <f t="shared" si="2"/>
        <v>100.44600938967136</v>
      </c>
      <c r="G19" s="1">
        <f t="shared" si="2"/>
        <v>100</v>
      </c>
      <c r="H19" s="1"/>
      <c r="I19" s="1"/>
    </row>
    <row r="20" spans="1:10">
      <c r="B20" s="1"/>
      <c r="C20" s="1"/>
      <c r="D20" s="1"/>
      <c r="E20" s="1"/>
      <c r="F20" s="1"/>
      <c r="G20" s="1"/>
      <c r="H20" s="1"/>
      <c r="I20" s="1"/>
    </row>
    <row r="21" spans="1:10">
      <c r="B21" s="1"/>
      <c r="C21" s="1"/>
      <c r="D21" s="1"/>
      <c r="E21" s="1"/>
      <c r="F21" s="1"/>
      <c r="G21" s="1"/>
      <c r="H21" s="1"/>
      <c r="I21" s="1"/>
    </row>
    <row r="22" spans="1:10">
      <c r="B22" s="1"/>
      <c r="C22" s="1"/>
      <c r="D22" s="1"/>
      <c r="E22" s="1"/>
      <c r="F22" s="1"/>
      <c r="G22" s="1"/>
      <c r="H22" s="1"/>
      <c r="I22" s="1"/>
    </row>
    <row r="23" spans="1:10">
      <c r="B23" s="1"/>
      <c r="C23" s="1"/>
      <c r="D23" s="1"/>
      <c r="E23" s="1"/>
      <c r="F23" s="1"/>
      <c r="G23" s="1"/>
      <c r="H23" s="1"/>
      <c r="I23" s="1"/>
    </row>
    <row r="25" spans="1:10">
      <c r="A25" s="4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0">
      <c r="A26" s="4">
        <f>A2</f>
        <v>1</v>
      </c>
      <c r="B26">
        <f t="shared" ref="B26:F31" si="3">C51</f>
        <v>99.96</v>
      </c>
      <c r="C26">
        <f t="shared" si="3"/>
        <v>60.99</v>
      </c>
      <c r="D26">
        <f t="shared" si="3"/>
        <v>81.239999999999995</v>
      </c>
      <c r="E26">
        <f t="shared" si="3"/>
        <v>55.15</v>
      </c>
      <c r="F26">
        <f t="shared" si="3"/>
        <v>95.74</v>
      </c>
      <c r="G26">
        <f t="shared" ref="G26:G31" si="4">B51</f>
        <v>36.159999999999997</v>
      </c>
    </row>
    <row r="27" spans="1:10">
      <c r="A27" s="4">
        <f>A3</f>
        <v>2</v>
      </c>
      <c r="B27">
        <f t="shared" si="3"/>
        <v>99.97</v>
      </c>
      <c r="C27">
        <f t="shared" si="3"/>
        <v>60.67</v>
      </c>
      <c r="D27">
        <f t="shared" si="3"/>
        <v>81.180000000000007</v>
      </c>
      <c r="E27">
        <f t="shared" si="3"/>
        <v>56.13</v>
      </c>
      <c r="F27">
        <f t="shared" si="3"/>
        <v>95.87</v>
      </c>
      <c r="G27">
        <f t="shared" si="4"/>
        <v>36.229999999999997</v>
      </c>
    </row>
    <row r="28" spans="1:10">
      <c r="A28" s="4">
        <f>A4</f>
        <v>4</v>
      </c>
      <c r="B28">
        <f t="shared" si="3"/>
        <v>99.97</v>
      </c>
      <c r="C28">
        <f t="shared" si="3"/>
        <v>60.52</v>
      </c>
      <c r="D28">
        <f t="shared" si="3"/>
        <v>81.56</v>
      </c>
      <c r="E28">
        <f t="shared" si="3"/>
        <v>56.31</v>
      </c>
      <c r="F28">
        <f t="shared" si="3"/>
        <v>95.93</v>
      </c>
      <c r="G28">
        <f t="shared" si="4"/>
        <v>36.020000000000003</v>
      </c>
      <c r="J28" t="s">
        <v>9</v>
      </c>
    </row>
    <row r="29" spans="1:10">
      <c r="A29" s="4">
        <f>A5</f>
        <v>8</v>
      </c>
      <c r="B29">
        <f t="shared" si="3"/>
        <v>99.98</v>
      </c>
      <c r="C29">
        <f t="shared" si="3"/>
        <v>57.54</v>
      </c>
      <c r="D29">
        <f t="shared" si="3"/>
        <v>86.78</v>
      </c>
      <c r="E29">
        <f t="shared" si="3"/>
        <v>42.28</v>
      </c>
      <c r="F29">
        <f t="shared" si="3"/>
        <v>94.78</v>
      </c>
      <c r="G29">
        <f t="shared" si="4"/>
        <v>32.5</v>
      </c>
    </row>
    <row r="30" spans="1:10">
      <c r="A30" s="4">
        <f>A6</f>
        <v>16</v>
      </c>
      <c r="B30">
        <f t="shared" si="3"/>
        <v>99.98</v>
      </c>
      <c r="C30">
        <f t="shared" si="3"/>
        <v>54.45</v>
      </c>
      <c r="D30">
        <f t="shared" si="3"/>
        <v>54.28</v>
      </c>
      <c r="E30">
        <f t="shared" si="3"/>
        <v>26.01</v>
      </c>
      <c r="F30">
        <f t="shared" si="3"/>
        <v>93.23</v>
      </c>
      <c r="G30">
        <f t="shared" si="4"/>
        <v>19.43</v>
      </c>
    </row>
    <row r="31" spans="1:10">
      <c r="A31" s="4">
        <v>20</v>
      </c>
      <c r="B31">
        <f t="shared" si="3"/>
        <v>99.96</v>
      </c>
      <c r="C31">
        <f t="shared" si="3"/>
        <v>54.18</v>
      </c>
      <c r="D31">
        <f t="shared" si="3"/>
        <v>37.770000000000003</v>
      </c>
      <c r="E31">
        <f t="shared" si="3"/>
        <v>21.24</v>
      </c>
      <c r="F31">
        <f t="shared" si="3"/>
        <v>73.58</v>
      </c>
      <c r="G31">
        <f t="shared" si="4"/>
        <v>16.54</v>
      </c>
    </row>
    <row r="33" spans="1:7">
      <c r="A33" s="6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>
      <c r="A34" s="6" t="s">
        <v>4</v>
      </c>
      <c r="B34" s="7"/>
      <c r="C34" s="7"/>
      <c r="D34" s="7"/>
      <c r="E34" s="7"/>
      <c r="F34" s="7"/>
      <c r="G34" s="7"/>
    </row>
    <row r="35" spans="1:7">
      <c r="A35" s="6">
        <v>1</v>
      </c>
      <c r="B35" s="7">
        <v>131.19999999999999</v>
      </c>
      <c r="C35" s="7">
        <v>169.8</v>
      </c>
      <c r="D35" s="7">
        <v>160.4</v>
      </c>
      <c r="E35" s="7">
        <v>160.4</v>
      </c>
      <c r="F35" s="7">
        <v>160.6</v>
      </c>
      <c r="G35" s="7">
        <v>168.6</v>
      </c>
    </row>
    <row r="36" spans="1:7">
      <c r="A36" s="6">
        <v>2</v>
      </c>
      <c r="B36" s="7">
        <v>254.6</v>
      </c>
      <c r="C36" s="7">
        <v>329.6</v>
      </c>
      <c r="D36" s="7">
        <v>311.8</v>
      </c>
      <c r="E36" s="7">
        <v>311.60000000000002</v>
      </c>
      <c r="F36" s="7">
        <v>312</v>
      </c>
      <c r="G36" s="7">
        <v>326</v>
      </c>
    </row>
    <row r="37" spans="1:7">
      <c r="A37" s="6">
        <v>4</v>
      </c>
      <c r="B37" s="7">
        <v>494.6</v>
      </c>
      <c r="C37" s="7">
        <v>642</v>
      </c>
      <c r="D37" s="7">
        <v>609.79999999999995</v>
      </c>
      <c r="E37" s="7">
        <v>608</v>
      </c>
      <c r="F37" s="7">
        <v>608</v>
      </c>
      <c r="G37" s="7">
        <v>630.4</v>
      </c>
    </row>
    <row r="38" spans="1:7">
      <c r="A38" s="6">
        <v>8</v>
      </c>
      <c r="B38" s="7">
        <v>842</v>
      </c>
      <c r="C38" s="7">
        <v>850.2</v>
      </c>
      <c r="D38" s="7">
        <v>850.8</v>
      </c>
      <c r="E38" s="7">
        <v>850.8</v>
      </c>
      <c r="F38" s="7">
        <v>850.2</v>
      </c>
      <c r="G38" s="7">
        <v>850.2</v>
      </c>
    </row>
    <row r="39" spans="1:7">
      <c r="A39" s="6">
        <v>16</v>
      </c>
      <c r="B39" s="7">
        <v>848.6</v>
      </c>
      <c r="C39" s="7">
        <v>852.4</v>
      </c>
      <c r="D39" s="7">
        <v>852.6</v>
      </c>
      <c r="E39" s="7">
        <v>852.2</v>
      </c>
      <c r="F39" s="7">
        <v>852.2</v>
      </c>
      <c r="G39" s="7">
        <v>852.6</v>
      </c>
    </row>
    <row r="40" spans="1:7">
      <c r="A40" s="6">
        <v>20</v>
      </c>
      <c r="B40" s="7">
        <v>852</v>
      </c>
      <c r="C40" s="7">
        <v>857</v>
      </c>
      <c r="D40" s="7">
        <v>857</v>
      </c>
      <c r="E40" s="7">
        <v>857</v>
      </c>
      <c r="F40" s="7">
        <v>857</v>
      </c>
      <c r="G40" s="7">
        <v>855.8</v>
      </c>
    </row>
    <row r="41" spans="1:7">
      <c r="A41" s="6" t="s">
        <v>5</v>
      </c>
      <c r="B41" s="7"/>
      <c r="C41" s="7"/>
      <c r="D41" s="7"/>
      <c r="E41" s="7"/>
      <c r="F41" s="7"/>
      <c r="G41" s="7"/>
    </row>
    <row r="42" spans="1:7">
      <c r="A42" s="6">
        <v>1</v>
      </c>
      <c r="B42" s="7">
        <v>0.75</v>
      </c>
      <c r="C42" s="7">
        <v>0.98</v>
      </c>
      <c r="D42" s="7">
        <v>0.49</v>
      </c>
      <c r="E42" s="7">
        <v>0.8</v>
      </c>
      <c r="F42" s="7">
        <v>1.02</v>
      </c>
      <c r="G42" s="7">
        <v>0.8</v>
      </c>
    </row>
    <row r="43" spans="1:7">
      <c r="A43" s="6">
        <v>2</v>
      </c>
      <c r="B43" s="7">
        <v>0.8</v>
      </c>
      <c r="C43" s="7">
        <v>2.5</v>
      </c>
      <c r="D43" s="7">
        <v>2.48</v>
      </c>
      <c r="E43" s="7">
        <v>2.06</v>
      </c>
      <c r="F43" s="7">
        <v>2.1</v>
      </c>
      <c r="G43" s="7">
        <v>0.63</v>
      </c>
    </row>
    <row r="44" spans="1:7">
      <c r="A44" s="6">
        <v>4</v>
      </c>
      <c r="B44" s="7">
        <v>2.58</v>
      </c>
      <c r="C44" s="7">
        <v>4.8600000000000003</v>
      </c>
      <c r="D44" s="7">
        <v>1.94</v>
      </c>
      <c r="E44" s="7">
        <v>4.5999999999999996</v>
      </c>
      <c r="F44" s="7">
        <v>3.41</v>
      </c>
      <c r="G44" s="7">
        <v>3.26</v>
      </c>
    </row>
    <row r="45" spans="1:7">
      <c r="A45" s="6">
        <v>8</v>
      </c>
      <c r="B45" s="7">
        <v>0</v>
      </c>
      <c r="C45" s="7">
        <v>0.4</v>
      </c>
      <c r="D45" s="7">
        <v>0.4</v>
      </c>
      <c r="E45" s="7">
        <v>0.4</v>
      </c>
      <c r="F45" s="7">
        <v>0.4</v>
      </c>
      <c r="G45" s="7">
        <v>0.4</v>
      </c>
    </row>
    <row r="46" spans="1:7">
      <c r="A46" s="6">
        <v>16</v>
      </c>
      <c r="B46" s="7">
        <v>0.8</v>
      </c>
      <c r="C46" s="7">
        <v>0.49</v>
      </c>
      <c r="D46" s="7">
        <v>0.49</v>
      </c>
      <c r="E46" s="7">
        <v>0.4</v>
      </c>
      <c r="F46" s="7">
        <v>0.4</v>
      </c>
      <c r="G46" s="7">
        <v>0.49</v>
      </c>
    </row>
    <row r="47" spans="1:7">
      <c r="A47" s="6">
        <v>20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0.98</v>
      </c>
    </row>
    <row r="48" spans="1:7">
      <c r="A48" s="7"/>
      <c r="B48" s="7"/>
      <c r="C48" s="7"/>
      <c r="D48" s="7"/>
      <c r="E48" s="7"/>
      <c r="F48" s="7"/>
      <c r="G48" s="7"/>
    </row>
    <row r="49" spans="1:11">
      <c r="A49" s="6" t="s">
        <v>6</v>
      </c>
      <c r="B49" s="7" t="s">
        <v>7</v>
      </c>
      <c r="C49" s="7" t="s">
        <v>8</v>
      </c>
      <c r="D49" s="7">
        <v>1</v>
      </c>
      <c r="E49" s="7"/>
      <c r="F49" s="7"/>
      <c r="G49" s="7"/>
    </row>
    <row r="50" spans="1:11">
      <c r="A50" s="6" t="s">
        <v>4</v>
      </c>
      <c r="B50" s="7"/>
      <c r="C50" s="7"/>
      <c r="D50" s="7"/>
      <c r="E50" s="7"/>
      <c r="F50" s="7"/>
      <c r="G50" s="7"/>
    </row>
    <row r="51" spans="1:11">
      <c r="A51" s="6">
        <v>1</v>
      </c>
      <c r="B51" s="7">
        <v>36.159999999999997</v>
      </c>
      <c r="C51" s="7">
        <v>99.96</v>
      </c>
      <c r="D51" s="7">
        <v>60.99</v>
      </c>
      <c r="E51" s="7">
        <v>81.239999999999995</v>
      </c>
      <c r="F51" s="7">
        <v>55.15</v>
      </c>
      <c r="G51" s="7">
        <v>95.74</v>
      </c>
      <c r="K51" s="2"/>
    </row>
    <row r="52" spans="1:11">
      <c r="A52" s="6">
        <v>2</v>
      </c>
      <c r="B52" s="7">
        <v>36.229999999999997</v>
      </c>
      <c r="C52" s="7">
        <v>99.97</v>
      </c>
      <c r="D52" s="7">
        <v>60.67</v>
      </c>
      <c r="E52" s="7">
        <v>81.180000000000007</v>
      </c>
      <c r="F52" s="7">
        <v>56.13</v>
      </c>
      <c r="G52" s="7">
        <v>95.87</v>
      </c>
      <c r="K52" s="2"/>
    </row>
    <row r="53" spans="1:11">
      <c r="A53" s="6">
        <v>4</v>
      </c>
      <c r="B53" s="7">
        <v>36.020000000000003</v>
      </c>
      <c r="C53" s="7">
        <v>99.97</v>
      </c>
      <c r="D53" s="7">
        <v>60.52</v>
      </c>
      <c r="E53" s="7">
        <v>81.56</v>
      </c>
      <c r="F53" s="7">
        <v>56.31</v>
      </c>
      <c r="G53" s="7">
        <v>95.93</v>
      </c>
      <c r="K53" s="2"/>
    </row>
    <row r="54" spans="1:11">
      <c r="A54" s="6">
        <v>8</v>
      </c>
      <c r="B54" s="7">
        <v>32.5</v>
      </c>
      <c r="C54" s="7">
        <v>99.98</v>
      </c>
      <c r="D54" s="7">
        <v>57.54</v>
      </c>
      <c r="E54" s="7">
        <v>86.78</v>
      </c>
      <c r="F54" s="7">
        <v>42.28</v>
      </c>
      <c r="G54" s="7">
        <v>94.78</v>
      </c>
      <c r="K54" s="2"/>
    </row>
    <row r="55" spans="1:11">
      <c r="A55" s="6">
        <v>16</v>
      </c>
      <c r="B55" s="7">
        <v>19.43</v>
      </c>
      <c r="C55" s="7">
        <v>99.98</v>
      </c>
      <c r="D55" s="7">
        <v>54.45</v>
      </c>
      <c r="E55" s="7">
        <v>54.28</v>
      </c>
      <c r="F55" s="7">
        <v>26.01</v>
      </c>
      <c r="G55" s="7">
        <v>93.23</v>
      </c>
      <c r="K55" s="2"/>
    </row>
    <row r="56" spans="1:11">
      <c r="A56" s="6">
        <v>20</v>
      </c>
      <c r="B56" s="7">
        <v>16.54</v>
      </c>
      <c r="C56" s="7">
        <v>99.96</v>
      </c>
      <c r="D56" s="7">
        <v>54.18</v>
      </c>
      <c r="E56" s="7">
        <v>37.770000000000003</v>
      </c>
      <c r="F56" s="7">
        <v>21.24</v>
      </c>
      <c r="G56" s="7">
        <v>73.58</v>
      </c>
      <c r="K56" s="2"/>
    </row>
    <row r="57" spans="1:11">
      <c r="A57" s="6" t="s">
        <v>5</v>
      </c>
      <c r="B57" s="7"/>
      <c r="C57" s="7"/>
      <c r="D57" s="7"/>
      <c r="E57" s="7"/>
      <c r="F57" s="7"/>
      <c r="G57" s="7"/>
      <c r="K57" s="2"/>
    </row>
    <row r="58" spans="1:11">
      <c r="A58" s="6">
        <v>1</v>
      </c>
      <c r="B58" s="7">
        <v>0.34</v>
      </c>
      <c r="C58" s="7">
        <v>0</v>
      </c>
      <c r="D58" s="7">
        <v>0.1</v>
      </c>
      <c r="E58" s="7">
        <v>0.1</v>
      </c>
      <c r="F58" s="7">
        <v>0.23</v>
      </c>
      <c r="G58" s="7">
        <v>0.02</v>
      </c>
    </row>
    <row r="59" spans="1:11">
      <c r="A59" s="6">
        <v>2</v>
      </c>
      <c r="B59" s="7">
        <v>0.14000000000000001</v>
      </c>
      <c r="C59" s="7">
        <v>0</v>
      </c>
      <c r="D59" s="7">
        <v>0.25</v>
      </c>
      <c r="E59" s="7">
        <v>0.11</v>
      </c>
      <c r="F59" s="7">
        <v>0.34</v>
      </c>
      <c r="G59" s="7">
        <v>0.01</v>
      </c>
      <c r="K59" s="2"/>
    </row>
    <row r="60" spans="1:11">
      <c r="A60" s="6">
        <v>4</v>
      </c>
      <c r="B60" s="7">
        <v>0.27</v>
      </c>
      <c r="C60" s="7">
        <v>0</v>
      </c>
      <c r="D60" s="7">
        <v>0.1</v>
      </c>
      <c r="E60" s="7">
        <v>0.17</v>
      </c>
      <c r="F60" s="7">
        <v>0.39</v>
      </c>
      <c r="G60" s="7">
        <v>0.01</v>
      </c>
      <c r="K60" s="2"/>
    </row>
    <row r="61" spans="1:11">
      <c r="A61" s="6">
        <v>8</v>
      </c>
      <c r="B61" s="7">
        <v>0.21</v>
      </c>
      <c r="C61" s="7">
        <v>0</v>
      </c>
      <c r="D61" s="7">
        <v>0.18</v>
      </c>
      <c r="E61" s="7">
        <v>0.1</v>
      </c>
      <c r="F61" s="7">
        <v>0.37</v>
      </c>
      <c r="G61" s="7">
        <v>0.02</v>
      </c>
      <c r="K61" s="2"/>
    </row>
    <row r="62" spans="1:11">
      <c r="A62" s="6">
        <v>16</v>
      </c>
      <c r="B62" s="7">
        <v>0.3</v>
      </c>
      <c r="C62" s="7">
        <v>0.01</v>
      </c>
      <c r="D62" s="7">
        <v>0.12</v>
      </c>
      <c r="E62" s="7">
        <v>0.32</v>
      </c>
      <c r="F62" s="7">
        <v>0.3</v>
      </c>
      <c r="G62" s="7">
        <v>0.05</v>
      </c>
      <c r="K62" s="2"/>
    </row>
    <row r="63" spans="1:11">
      <c r="A63" s="6">
        <v>20</v>
      </c>
      <c r="B63" s="7">
        <v>0.11</v>
      </c>
      <c r="C63" s="7">
        <v>0</v>
      </c>
      <c r="D63" s="7">
        <v>0.03</v>
      </c>
      <c r="E63" s="7">
        <v>0.25</v>
      </c>
      <c r="F63" s="7">
        <v>0.16</v>
      </c>
      <c r="G63" s="7">
        <v>1.84</v>
      </c>
      <c r="K63" s="2"/>
    </row>
    <row r="64" spans="1:11">
      <c r="K64" s="2"/>
    </row>
    <row r="65" spans="11:11">
      <c r="K65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3" spans="11:11">
      <c r="K73" s="2"/>
    </row>
    <row r="74" spans="11:11">
      <c r="K74" s="2"/>
    </row>
    <row r="75" spans="11:11">
      <c r="K75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K83" s="2"/>
    </row>
    <row r="84" spans="1:11">
      <c r="K84" s="2"/>
    </row>
    <row r="85" spans="1:11">
      <c r="K85" s="2"/>
    </row>
    <row r="86" spans="1:11">
      <c r="A86" s="5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3" spans="1:11">
      <c r="K93" s="2"/>
    </row>
    <row r="94" spans="1:11">
      <c r="K94" s="2"/>
    </row>
    <row r="95" spans="1:11">
      <c r="K95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3" spans="11:11">
      <c r="K103" s="2"/>
    </row>
    <row r="104" spans="11:11">
      <c r="K104" s="2"/>
    </row>
    <row r="105" spans="11:11">
      <c r="K105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3" spans="11:11">
      <c r="K113" s="2"/>
    </row>
    <row r="114" spans="11:11">
      <c r="K114" s="2"/>
    </row>
    <row r="115" spans="11:11">
      <c r="K115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3" spans="11:11">
      <c r="K123" s="2"/>
    </row>
    <row r="124" spans="11:11">
      <c r="K124" s="2"/>
    </row>
    <row r="125" spans="11:11">
      <c r="K125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3" spans="11:11">
      <c r="K133" s="2"/>
    </row>
    <row r="134" spans="11:11">
      <c r="K134" s="2"/>
    </row>
    <row r="135" spans="11:11">
      <c r="K135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  <row r="145" spans="11:11">
      <c r="K145" s="2"/>
    </row>
    <row r="146" spans="11:11">
      <c r="K146" s="2"/>
    </row>
    <row r="147" spans="11:11">
      <c r="K147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FEFC5-796F-254C-A8A6-309725AB3BC5}">
  <dimension ref="A1:R147"/>
  <sheetViews>
    <sheetView zoomScaleNormal="100" workbookViewId="0">
      <selection activeCell="J1" sqref="J1"/>
    </sheetView>
  </sheetViews>
  <sheetFormatPr defaultColWidth="10.6640625" defaultRowHeight="15.7"/>
  <sheetData>
    <row r="1" spans="1:10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3">
        <v>1</v>
      </c>
      <c r="B2">
        <f>C35</f>
        <v>65.36</v>
      </c>
      <c r="C2">
        <f>D35</f>
        <v>63.38</v>
      </c>
      <c r="D2">
        <f>E35</f>
        <v>63.68</v>
      </c>
      <c r="E2">
        <f>F35</f>
        <v>63.52</v>
      </c>
      <c r="F2">
        <f>G35</f>
        <v>65.16</v>
      </c>
      <c r="G2">
        <f t="shared" ref="G2:G7" si="0">B35</f>
        <v>57.54</v>
      </c>
      <c r="J2" t="s">
        <v>11</v>
      </c>
    </row>
    <row r="3" spans="1:10">
      <c r="A3" s="3">
        <v>2</v>
      </c>
      <c r="B3">
        <f t="shared" ref="B3:F6" si="1">C36</f>
        <v>130</v>
      </c>
      <c r="C3">
        <f t="shared" si="1"/>
        <v>126.8</v>
      </c>
      <c r="D3">
        <f t="shared" si="1"/>
        <v>126.6</v>
      </c>
      <c r="E3">
        <f t="shared" si="1"/>
        <v>126.4</v>
      </c>
      <c r="F3">
        <f t="shared" si="1"/>
        <v>129.19999999999999</v>
      </c>
      <c r="G3">
        <f t="shared" si="0"/>
        <v>114</v>
      </c>
    </row>
    <row r="4" spans="1:10">
      <c r="A4" s="3">
        <v>4</v>
      </c>
      <c r="B4">
        <f t="shared" si="1"/>
        <v>240.6</v>
      </c>
      <c r="C4">
        <f t="shared" si="1"/>
        <v>235.6</v>
      </c>
      <c r="D4">
        <f t="shared" si="1"/>
        <v>235.4</v>
      </c>
      <c r="E4">
        <f t="shared" si="1"/>
        <v>235</v>
      </c>
      <c r="F4">
        <f t="shared" si="1"/>
        <v>240</v>
      </c>
      <c r="G4">
        <f t="shared" si="0"/>
        <v>215.6</v>
      </c>
    </row>
    <row r="5" spans="1:10">
      <c r="A5" s="3">
        <v>8</v>
      </c>
      <c r="B5">
        <f t="shared" si="1"/>
        <v>409</v>
      </c>
      <c r="C5">
        <f t="shared" si="1"/>
        <v>403</v>
      </c>
      <c r="D5">
        <f t="shared" si="1"/>
        <v>402.8</v>
      </c>
      <c r="E5">
        <f t="shared" si="1"/>
        <v>400</v>
      </c>
      <c r="F5">
        <f t="shared" si="1"/>
        <v>407.4</v>
      </c>
      <c r="G5">
        <f t="shared" si="0"/>
        <v>378</v>
      </c>
    </row>
    <row r="6" spans="1:10">
      <c r="A6" s="3">
        <v>16</v>
      </c>
      <c r="B6">
        <f t="shared" si="1"/>
        <v>590.4</v>
      </c>
      <c r="C6">
        <f t="shared" si="1"/>
        <v>586.4</v>
      </c>
      <c r="D6">
        <f t="shared" si="1"/>
        <v>586.6</v>
      </c>
      <c r="E6">
        <f t="shared" si="1"/>
        <v>580</v>
      </c>
      <c r="F6">
        <f t="shared" si="1"/>
        <v>589.4</v>
      </c>
      <c r="G6">
        <f t="shared" si="0"/>
        <v>569.79999999999995</v>
      </c>
    </row>
    <row r="7" spans="1:10">
      <c r="A7" s="3">
        <v>20</v>
      </c>
      <c r="B7">
        <f t="shared" ref="B7" si="2">C40</f>
        <v>639.79999999999995</v>
      </c>
      <c r="C7">
        <f t="shared" ref="C7" si="3">D40</f>
        <v>634.4</v>
      </c>
      <c r="D7">
        <f t="shared" ref="D7" si="4">E40</f>
        <v>637.4</v>
      </c>
      <c r="E7">
        <f t="shared" ref="E7" si="5">F40</f>
        <v>629.6</v>
      </c>
      <c r="F7">
        <f t="shared" ref="F7" si="6">G40</f>
        <v>639</v>
      </c>
      <c r="G7">
        <f t="shared" si="0"/>
        <v>623.79999999999995</v>
      </c>
    </row>
    <row r="13" spans="1:10">
      <c r="A13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3">
        <f>A2</f>
        <v>1</v>
      </c>
      <c r="B14" s="1">
        <f t="shared" ref="B14:G19" si="7">B2/$G2*100</f>
        <v>113.59054570733403</v>
      </c>
      <c r="C14" s="1">
        <f t="shared" si="7"/>
        <v>110.14946124435177</v>
      </c>
      <c r="D14" s="1">
        <f t="shared" si="7"/>
        <v>110.67083767813695</v>
      </c>
      <c r="E14" s="1">
        <f t="shared" si="7"/>
        <v>110.39277024678485</v>
      </c>
      <c r="F14" s="1">
        <f t="shared" si="7"/>
        <v>113.24296141814389</v>
      </c>
      <c r="G14" s="1">
        <f t="shared" si="7"/>
        <v>100</v>
      </c>
      <c r="H14" s="1"/>
      <c r="I14" s="1"/>
    </row>
    <row r="15" spans="1:10">
      <c r="A15" s="3">
        <f>A3</f>
        <v>2</v>
      </c>
      <c r="B15" s="1">
        <f t="shared" si="7"/>
        <v>114.03508771929825</v>
      </c>
      <c r="C15" s="1">
        <f t="shared" si="7"/>
        <v>111.22807017543859</v>
      </c>
      <c r="D15" s="1">
        <f t="shared" si="7"/>
        <v>111.05263157894736</v>
      </c>
      <c r="E15" s="1">
        <f t="shared" si="7"/>
        <v>110.87719298245615</v>
      </c>
      <c r="F15" s="1">
        <f t="shared" si="7"/>
        <v>113.33333333333333</v>
      </c>
      <c r="G15" s="1">
        <f t="shared" si="7"/>
        <v>100</v>
      </c>
      <c r="H15" s="1"/>
      <c r="I15" s="1"/>
      <c r="J15" t="s">
        <v>10</v>
      </c>
    </row>
    <row r="16" spans="1:10">
      <c r="A16" s="3">
        <f>A4</f>
        <v>4</v>
      </c>
      <c r="B16" s="1">
        <f t="shared" si="7"/>
        <v>111.59554730983304</v>
      </c>
      <c r="C16" s="1">
        <f t="shared" si="7"/>
        <v>109.27643784786642</v>
      </c>
      <c r="D16" s="1">
        <f t="shared" si="7"/>
        <v>109.18367346938776</v>
      </c>
      <c r="E16" s="1">
        <f t="shared" si="7"/>
        <v>108.99814471243043</v>
      </c>
      <c r="F16" s="1">
        <f t="shared" si="7"/>
        <v>111.31725417439704</v>
      </c>
      <c r="G16" s="1">
        <f t="shared" si="7"/>
        <v>100</v>
      </c>
      <c r="H16" s="1"/>
      <c r="I16" s="1"/>
    </row>
    <row r="17" spans="1:18">
      <c r="A17" s="3">
        <f>A5</f>
        <v>8</v>
      </c>
      <c r="B17" s="1">
        <f t="shared" si="7"/>
        <v>108.2010582010582</v>
      </c>
      <c r="C17" s="1">
        <f t="shared" si="7"/>
        <v>106.61375661375661</v>
      </c>
      <c r="D17" s="1">
        <f t="shared" si="7"/>
        <v>106.56084656084657</v>
      </c>
      <c r="E17" s="1">
        <f t="shared" si="7"/>
        <v>105.82010582010581</v>
      </c>
      <c r="F17" s="1">
        <f t="shared" si="7"/>
        <v>107.77777777777777</v>
      </c>
      <c r="G17" s="1">
        <f t="shared" si="7"/>
        <v>100</v>
      </c>
      <c r="H17" s="1"/>
      <c r="I17" s="1"/>
    </row>
    <row r="18" spans="1:18">
      <c r="A18" s="3">
        <f>A6</f>
        <v>16</v>
      </c>
      <c r="B18" s="1">
        <f t="shared" si="7"/>
        <v>103.61530361530362</v>
      </c>
      <c r="C18" s="1">
        <f t="shared" si="7"/>
        <v>102.91330291330291</v>
      </c>
      <c r="D18" s="1">
        <f t="shared" si="7"/>
        <v>102.94840294840296</v>
      </c>
      <c r="E18" s="1">
        <f t="shared" si="7"/>
        <v>101.7901017901018</v>
      </c>
      <c r="F18" s="1">
        <f t="shared" si="7"/>
        <v>103.43980343980344</v>
      </c>
      <c r="G18" s="1">
        <f t="shared" si="7"/>
        <v>100</v>
      </c>
      <c r="H18" s="1"/>
      <c r="I18" s="1"/>
    </row>
    <row r="19" spans="1:18">
      <c r="A19" s="3">
        <v>20</v>
      </c>
      <c r="B19" s="1">
        <f t="shared" si="7"/>
        <v>102.56492465533825</v>
      </c>
      <c r="C19" s="1">
        <f t="shared" si="7"/>
        <v>101.6992625841616</v>
      </c>
      <c r="D19" s="1">
        <f t="shared" si="7"/>
        <v>102.18018595703751</v>
      </c>
      <c r="E19" s="1">
        <f t="shared" si="7"/>
        <v>100.92978518756013</v>
      </c>
      <c r="F19" s="1">
        <f t="shared" si="7"/>
        <v>102.43667842257133</v>
      </c>
      <c r="G19" s="1">
        <f t="shared" si="7"/>
        <v>100</v>
      </c>
      <c r="H19" s="1"/>
      <c r="I19" s="1"/>
    </row>
    <row r="20" spans="1:18">
      <c r="B20" s="1"/>
      <c r="C20" s="1"/>
      <c r="D20" s="1"/>
      <c r="E20" s="1"/>
      <c r="F20" s="1"/>
      <c r="G20" s="1"/>
      <c r="H20" s="1"/>
      <c r="I20" s="1"/>
    </row>
    <row r="21" spans="1:18">
      <c r="B21" s="1"/>
      <c r="C21" s="1"/>
      <c r="D21" s="1"/>
      <c r="E21" s="1"/>
      <c r="F21" s="1"/>
      <c r="G21" s="1"/>
      <c r="H21" s="1"/>
      <c r="I21" s="1"/>
    </row>
    <row r="22" spans="1:18">
      <c r="B22" s="1"/>
      <c r="C22" s="1"/>
      <c r="D22" s="1"/>
      <c r="E22" s="1"/>
      <c r="F22" s="1"/>
      <c r="G22" s="1"/>
      <c r="H22" s="1"/>
      <c r="I22" s="1"/>
    </row>
    <row r="23" spans="1:18">
      <c r="B23" s="1"/>
      <c r="C23" s="1"/>
      <c r="D23" s="1"/>
      <c r="E23" s="1"/>
      <c r="F23" s="1"/>
      <c r="G23" s="1"/>
      <c r="H23" s="1"/>
      <c r="I23" s="1"/>
    </row>
    <row r="25" spans="1:18">
      <c r="A25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8">
      <c r="A26">
        <f>A2</f>
        <v>1</v>
      </c>
      <c r="B26">
        <f>C51</f>
        <v>99.91</v>
      </c>
      <c r="C26">
        <f>D51</f>
        <v>55.46</v>
      </c>
      <c r="D26">
        <f>E51</f>
        <v>40.770000000000003</v>
      </c>
      <c r="E26">
        <f>F51</f>
        <v>28.78</v>
      </c>
      <c r="F26">
        <f>G51</f>
        <v>93.34</v>
      </c>
      <c r="G26">
        <f t="shared" ref="G26:G31" si="8">B51</f>
        <v>20.48</v>
      </c>
    </row>
    <row r="27" spans="1:18">
      <c r="A27">
        <f>A3</f>
        <v>2</v>
      </c>
      <c r="B27">
        <f t="shared" ref="B27:F30" si="9">C52</f>
        <v>99.94</v>
      </c>
      <c r="C27">
        <f t="shared" si="9"/>
        <v>55.19</v>
      </c>
      <c r="D27">
        <f t="shared" si="9"/>
        <v>41.55</v>
      </c>
      <c r="E27">
        <f t="shared" si="9"/>
        <v>29.6</v>
      </c>
      <c r="F27">
        <f t="shared" si="9"/>
        <v>93.41</v>
      </c>
      <c r="G27">
        <f t="shared" si="8"/>
        <v>20.329999999999998</v>
      </c>
    </row>
    <row r="28" spans="1:18">
      <c r="A28">
        <f>A4</f>
        <v>4</v>
      </c>
      <c r="B28">
        <f t="shared" si="9"/>
        <v>99.93</v>
      </c>
      <c r="C28">
        <f t="shared" si="9"/>
        <v>54.74</v>
      </c>
      <c r="D28">
        <f t="shared" si="9"/>
        <v>45.31</v>
      </c>
      <c r="E28">
        <f t="shared" si="9"/>
        <v>33.130000000000003</v>
      </c>
      <c r="F28">
        <f t="shared" si="9"/>
        <v>93.77</v>
      </c>
      <c r="G28">
        <f t="shared" si="8"/>
        <v>19.23</v>
      </c>
      <c r="J28" t="s">
        <v>9</v>
      </c>
    </row>
    <row r="29" spans="1:18">
      <c r="A29">
        <f>A5</f>
        <v>8</v>
      </c>
      <c r="B29">
        <f t="shared" si="9"/>
        <v>99.94</v>
      </c>
      <c r="C29">
        <f t="shared" si="9"/>
        <v>54.13</v>
      </c>
      <c r="D29">
        <f t="shared" si="9"/>
        <v>52.62</v>
      </c>
      <c r="E29">
        <f t="shared" si="9"/>
        <v>38.409999999999997</v>
      </c>
      <c r="F29">
        <f t="shared" si="9"/>
        <v>94.3</v>
      </c>
      <c r="G29">
        <f t="shared" si="8"/>
        <v>17.11</v>
      </c>
    </row>
    <row r="30" spans="1:18">
      <c r="A30">
        <f>A6</f>
        <v>16</v>
      </c>
      <c r="B30">
        <f t="shared" si="9"/>
        <v>99.93</v>
      </c>
      <c r="C30">
        <f t="shared" si="9"/>
        <v>53.05</v>
      </c>
      <c r="D30">
        <f t="shared" si="9"/>
        <v>64.44</v>
      </c>
      <c r="E30">
        <f t="shared" si="9"/>
        <v>43.22</v>
      </c>
      <c r="F30">
        <f t="shared" si="9"/>
        <v>94.73</v>
      </c>
      <c r="G30">
        <f t="shared" si="8"/>
        <v>12.86</v>
      </c>
    </row>
    <row r="31" spans="1:18">
      <c r="A31">
        <v>20</v>
      </c>
      <c r="B31">
        <f t="shared" ref="B31" si="10">C56</f>
        <v>99.9</v>
      </c>
      <c r="C31">
        <f t="shared" ref="C31" si="11">D56</f>
        <v>52.63</v>
      </c>
      <c r="D31">
        <f t="shared" ref="D31" si="12">E56</f>
        <v>68.52</v>
      </c>
      <c r="E31">
        <f t="shared" ref="E31" si="13">F56</f>
        <v>44.25</v>
      </c>
      <c r="F31">
        <f t="shared" ref="F31" si="14">G56</f>
        <v>94.6</v>
      </c>
      <c r="G31">
        <f t="shared" si="8"/>
        <v>11.34</v>
      </c>
    </row>
    <row r="32" spans="1:18">
      <c r="R32" t="s">
        <v>16</v>
      </c>
    </row>
    <row r="33" spans="1:7">
      <c r="A33" s="8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>
      <c r="A34" s="8" t="s">
        <v>4</v>
      </c>
      <c r="B34" s="7"/>
      <c r="C34" s="7"/>
      <c r="D34" s="7"/>
      <c r="E34" s="7"/>
      <c r="F34" s="7"/>
      <c r="G34" s="7"/>
    </row>
    <row r="35" spans="1:7">
      <c r="A35" s="8">
        <v>1</v>
      </c>
      <c r="B35" s="7">
        <v>57.54</v>
      </c>
      <c r="C35" s="7">
        <v>65.36</v>
      </c>
      <c r="D35" s="7">
        <v>63.38</v>
      </c>
      <c r="E35" s="7">
        <v>63.68</v>
      </c>
      <c r="F35" s="7">
        <v>63.52</v>
      </c>
      <c r="G35" s="7">
        <v>65.16</v>
      </c>
    </row>
    <row r="36" spans="1:7">
      <c r="A36" s="8">
        <v>2</v>
      </c>
      <c r="B36" s="7">
        <v>114</v>
      </c>
      <c r="C36" s="7">
        <v>130</v>
      </c>
      <c r="D36" s="7">
        <v>126.8</v>
      </c>
      <c r="E36" s="7">
        <v>126.6</v>
      </c>
      <c r="F36" s="7">
        <v>126.4</v>
      </c>
      <c r="G36" s="7">
        <v>129.19999999999999</v>
      </c>
    </row>
    <row r="37" spans="1:7">
      <c r="A37" s="8">
        <v>4</v>
      </c>
      <c r="B37" s="7">
        <v>215.6</v>
      </c>
      <c r="C37" s="7">
        <v>240.6</v>
      </c>
      <c r="D37" s="7">
        <v>235.6</v>
      </c>
      <c r="E37" s="7">
        <v>235.4</v>
      </c>
      <c r="F37" s="7">
        <v>235</v>
      </c>
      <c r="G37" s="7">
        <v>240</v>
      </c>
    </row>
    <row r="38" spans="1:7">
      <c r="A38" s="8">
        <v>8</v>
      </c>
      <c r="B38" s="7">
        <v>378</v>
      </c>
      <c r="C38" s="7">
        <v>409</v>
      </c>
      <c r="D38" s="7">
        <v>403</v>
      </c>
      <c r="E38" s="7">
        <v>402.8</v>
      </c>
      <c r="F38" s="7">
        <v>400</v>
      </c>
      <c r="G38" s="7">
        <v>407.4</v>
      </c>
    </row>
    <row r="39" spans="1:7">
      <c r="A39" s="8">
        <v>16</v>
      </c>
      <c r="B39" s="7">
        <v>569.79999999999995</v>
      </c>
      <c r="C39" s="7">
        <v>590.4</v>
      </c>
      <c r="D39" s="7">
        <v>586.4</v>
      </c>
      <c r="E39" s="7">
        <v>586.6</v>
      </c>
      <c r="F39" s="7">
        <v>580</v>
      </c>
      <c r="G39" s="7">
        <v>589.4</v>
      </c>
    </row>
    <row r="40" spans="1:7">
      <c r="A40" s="8">
        <v>20</v>
      </c>
      <c r="B40" s="7">
        <v>623.79999999999995</v>
      </c>
      <c r="C40" s="7">
        <v>639.79999999999995</v>
      </c>
      <c r="D40" s="7">
        <v>634.4</v>
      </c>
      <c r="E40" s="7">
        <v>637.4</v>
      </c>
      <c r="F40" s="7">
        <v>629.6</v>
      </c>
      <c r="G40" s="7">
        <v>639</v>
      </c>
    </row>
    <row r="41" spans="1:7">
      <c r="A41" s="8" t="s">
        <v>5</v>
      </c>
      <c r="B41" s="7"/>
      <c r="C41" s="7"/>
      <c r="D41" s="7"/>
      <c r="E41" s="7"/>
      <c r="F41" s="7"/>
      <c r="G41" s="7"/>
    </row>
    <row r="42" spans="1:7">
      <c r="A42" s="8">
        <v>1</v>
      </c>
      <c r="B42" s="7">
        <v>0.14000000000000001</v>
      </c>
      <c r="C42" s="7">
        <v>0.35</v>
      </c>
      <c r="D42" s="7">
        <v>0.22</v>
      </c>
      <c r="E42" s="7">
        <v>0.19</v>
      </c>
      <c r="F42" s="7">
        <v>0.12</v>
      </c>
      <c r="G42" s="7">
        <v>0.21</v>
      </c>
    </row>
    <row r="43" spans="1:7">
      <c r="A43" s="8">
        <v>2</v>
      </c>
      <c r="B43" s="7">
        <v>0</v>
      </c>
      <c r="C43" s="7">
        <v>0</v>
      </c>
      <c r="D43" s="7">
        <v>0.4</v>
      </c>
      <c r="E43" s="7">
        <v>0.49</v>
      </c>
      <c r="F43" s="7">
        <v>0.49</v>
      </c>
      <c r="G43" s="7">
        <v>0.4</v>
      </c>
    </row>
    <row r="44" spans="1:7">
      <c r="A44" s="8">
        <v>4</v>
      </c>
      <c r="B44" s="7">
        <v>0.49</v>
      </c>
      <c r="C44" s="7">
        <v>0.49</v>
      </c>
      <c r="D44" s="7">
        <v>0.49</v>
      </c>
      <c r="E44" s="7">
        <v>0.49</v>
      </c>
      <c r="F44" s="7">
        <v>0</v>
      </c>
      <c r="G44" s="7">
        <v>0.63</v>
      </c>
    </row>
    <row r="45" spans="1:7">
      <c r="A45" s="8">
        <v>8</v>
      </c>
      <c r="B45" s="7">
        <v>0.63</v>
      </c>
      <c r="C45" s="7">
        <v>0.63</v>
      </c>
      <c r="D45" s="7">
        <v>0.63</v>
      </c>
      <c r="E45" s="7">
        <v>0.75</v>
      </c>
      <c r="F45" s="7">
        <v>0.63</v>
      </c>
      <c r="G45" s="7">
        <v>1.02</v>
      </c>
    </row>
    <row r="46" spans="1:7">
      <c r="A46" s="8">
        <v>16</v>
      </c>
      <c r="B46" s="7">
        <v>0.4</v>
      </c>
      <c r="C46" s="7">
        <v>0.8</v>
      </c>
      <c r="D46" s="7">
        <v>0.49</v>
      </c>
      <c r="E46" s="7">
        <v>0.49</v>
      </c>
      <c r="F46" s="7">
        <v>0</v>
      </c>
      <c r="G46" s="7">
        <v>0.49</v>
      </c>
    </row>
    <row r="47" spans="1:7">
      <c r="A47" s="8">
        <v>20</v>
      </c>
      <c r="B47" s="7">
        <v>0.4</v>
      </c>
      <c r="C47" s="7">
        <v>0.75</v>
      </c>
      <c r="D47" s="7">
        <v>0.8</v>
      </c>
      <c r="E47" s="7">
        <v>0.49</v>
      </c>
      <c r="F47" s="7">
        <v>0.49</v>
      </c>
      <c r="G47" s="7">
        <v>0</v>
      </c>
    </row>
    <row r="48" spans="1:7">
      <c r="A48" s="7"/>
      <c r="B48" s="7"/>
      <c r="C48" s="7"/>
      <c r="D48" s="7"/>
      <c r="E48" s="7"/>
      <c r="F48" s="7"/>
      <c r="G48" s="7"/>
    </row>
    <row r="49" spans="1:11">
      <c r="A49" s="8" t="s">
        <v>6</v>
      </c>
      <c r="B49" s="7" t="s">
        <v>7</v>
      </c>
      <c r="C49" s="7" t="s">
        <v>8</v>
      </c>
      <c r="D49" s="7">
        <v>1</v>
      </c>
      <c r="E49" s="7"/>
      <c r="F49" s="7"/>
      <c r="G49" s="7"/>
    </row>
    <row r="50" spans="1:11">
      <c r="A50" s="8" t="s">
        <v>4</v>
      </c>
      <c r="B50" s="7"/>
      <c r="C50" s="7"/>
      <c r="D50" s="7"/>
      <c r="E50" s="7"/>
      <c r="F50" s="7"/>
      <c r="G50" s="7"/>
    </row>
    <row r="51" spans="1:11">
      <c r="A51" s="8">
        <v>1</v>
      </c>
      <c r="B51" s="7">
        <v>20.48</v>
      </c>
      <c r="C51" s="7">
        <v>99.91</v>
      </c>
      <c r="D51" s="7">
        <v>55.46</v>
      </c>
      <c r="E51" s="7">
        <v>40.770000000000003</v>
      </c>
      <c r="F51" s="7">
        <v>28.78</v>
      </c>
      <c r="G51" s="7">
        <v>93.34</v>
      </c>
      <c r="K51" s="2"/>
    </row>
    <row r="52" spans="1:11">
      <c r="A52" s="8">
        <v>2</v>
      </c>
      <c r="B52" s="7">
        <v>20.329999999999998</v>
      </c>
      <c r="C52" s="7">
        <v>99.94</v>
      </c>
      <c r="D52" s="7">
        <v>55.19</v>
      </c>
      <c r="E52" s="7">
        <v>41.55</v>
      </c>
      <c r="F52" s="7">
        <v>29.6</v>
      </c>
      <c r="G52" s="7">
        <v>93.41</v>
      </c>
      <c r="K52" s="2"/>
    </row>
    <row r="53" spans="1:11">
      <c r="A53" s="8">
        <v>4</v>
      </c>
      <c r="B53" s="7">
        <v>19.23</v>
      </c>
      <c r="C53" s="7">
        <v>99.93</v>
      </c>
      <c r="D53" s="7">
        <v>54.74</v>
      </c>
      <c r="E53" s="7">
        <v>45.31</v>
      </c>
      <c r="F53" s="7">
        <v>33.130000000000003</v>
      </c>
      <c r="G53" s="7">
        <v>93.77</v>
      </c>
      <c r="K53" s="2"/>
    </row>
    <row r="54" spans="1:11">
      <c r="A54" s="8">
        <v>8</v>
      </c>
      <c r="B54" s="7">
        <v>17.11</v>
      </c>
      <c r="C54" s="7">
        <v>99.94</v>
      </c>
      <c r="D54" s="7">
        <v>54.13</v>
      </c>
      <c r="E54" s="7">
        <v>52.62</v>
      </c>
      <c r="F54" s="7">
        <v>38.409999999999997</v>
      </c>
      <c r="G54" s="7">
        <v>94.3</v>
      </c>
      <c r="K54" s="2"/>
    </row>
    <row r="55" spans="1:11">
      <c r="A55" s="8">
        <v>16</v>
      </c>
      <c r="B55" s="7">
        <v>12.86</v>
      </c>
      <c r="C55" s="7">
        <v>99.93</v>
      </c>
      <c r="D55" s="7">
        <v>53.05</v>
      </c>
      <c r="E55" s="7">
        <v>64.44</v>
      </c>
      <c r="F55" s="7">
        <v>43.22</v>
      </c>
      <c r="G55" s="7">
        <v>94.73</v>
      </c>
      <c r="K55" s="2"/>
    </row>
    <row r="56" spans="1:11">
      <c r="A56" s="8">
        <v>20</v>
      </c>
      <c r="B56" s="7">
        <v>11.34</v>
      </c>
      <c r="C56" s="7">
        <v>99.9</v>
      </c>
      <c r="D56" s="7">
        <v>52.63</v>
      </c>
      <c r="E56" s="7">
        <v>68.52</v>
      </c>
      <c r="F56" s="7">
        <v>44.25</v>
      </c>
      <c r="G56" s="7">
        <v>94.6</v>
      </c>
      <c r="K56" s="2"/>
    </row>
    <row r="57" spans="1:11">
      <c r="A57" s="8" t="s">
        <v>5</v>
      </c>
      <c r="B57" s="7"/>
      <c r="C57" s="7"/>
      <c r="D57" s="7"/>
      <c r="E57" s="7"/>
      <c r="F57" s="7"/>
      <c r="G57" s="7"/>
      <c r="K57" s="2"/>
    </row>
    <row r="58" spans="1:11">
      <c r="A58" s="8">
        <v>1</v>
      </c>
      <c r="B58" s="7">
        <v>0.19</v>
      </c>
      <c r="C58" s="7">
        <v>0</v>
      </c>
      <c r="D58" s="7">
        <v>0.18</v>
      </c>
      <c r="E58" s="7">
        <v>0.19</v>
      </c>
      <c r="F58" s="7">
        <v>0.22</v>
      </c>
      <c r="G58" s="7">
        <v>0.01</v>
      </c>
    </row>
    <row r="59" spans="1:11">
      <c r="A59" s="8">
        <v>2</v>
      </c>
      <c r="B59" s="7">
        <v>0.1</v>
      </c>
      <c r="C59" s="7">
        <v>0.02</v>
      </c>
      <c r="D59" s="7">
        <v>0.1</v>
      </c>
      <c r="E59" s="7">
        <v>0.09</v>
      </c>
      <c r="F59" s="7">
        <v>0.4</v>
      </c>
      <c r="G59" s="7">
        <v>0.02</v>
      </c>
      <c r="K59" s="2"/>
    </row>
    <row r="60" spans="1:11">
      <c r="A60" s="8">
        <v>4</v>
      </c>
      <c r="B60" s="7">
        <v>0.05</v>
      </c>
      <c r="C60" s="7">
        <v>0</v>
      </c>
      <c r="D60" s="7">
        <v>0.21</v>
      </c>
      <c r="E60" s="7">
        <v>0.13</v>
      </c>
      <c r="F60" s="7">
        <v>0.13</v>
      </c>
      <c r="G60" s="7">
        <v>0.02</v>
      </c>
      <c r="K60" s="2"/>
    </row>
    <row r="61" spans="1:11">
      <c r="A61" s="8">
        <v>8</v>
      </c>
      <c r="B61" s="7">
        <v>0.11</v>
      </c>
      <c r="C61" s="7">
        <v>0</v>
      </c>
      <c r="D61" s="7">
        <v>0.12</v>
      </c>
      <c r="E61" s="7">
        <v>0.08</v>
      </c>
      <c r="F61" s="7">
        <v>0.12</v>
      </c>
      <c r="G61" s="7">
        <v>0.03</v>
      </c>
      <c r="K61" s="2"/>
    </row>
    <row r="62" spans="1:11">
      <c r="A62" s="8">
        <v>16</v>
      </c>
      <c r="B62" s="7">
        <v>0.11</v>
      </c>
      <c r="C62" s="7">
        <v>0.01</v>
      </c>
      <c r="D62" s="7">
        <v>0.1</v>
      </c>
      <c r="E62" s="7">
        <v>7.0000000000000007E-2</v>
      </c>
      <c r="F62" s="7">
        <v>7.0000000000000007E-2</v>
      </c>
      <c r="G62" s="7">
        <v>0.04</v>
      </c>
      <c r="K62" s="2"/>
    </row>
    <row r="63" spans="1:11">
      <c r="A63" s="8">
        <v>20</v>
      </c>
      <c r="B63" s="7">
        <v>0.16</v>
      </c>
      <c r="C63" s="7">
        <v>0.03</v>
      </c>
      <c r="D63" s="7">
        <v>0.03</v>
      </c>
      <c r="E63" s="7">
        <v>7.0000000000000007E-2</v>
      </c>
      <c r="F63" s="7">
        <v>0.12</v>
      </c>
      <c r="G63" s="7">
        <v>0.28000000000000003</v>
      </c>
      <c r="K63" s="2"/>
    </row>
    <row r="64" spans="1:11">
      <c r="K64" s="2"/>
    </row>
    <row r="65" spans="11:11">
      <c r="K65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3" spans="11:11">
      <c r="K73" s="2"/>
    </row>
    <row r="74" spans="11:11">
      <c r="K74" s="2"/>
    </row>
    <row r="75" spans="11:11">
      <c r="K75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K83" s="2"/>
    </row>
    <row r="84" spans="1:11">
      <c r="K84" s="2"/>
    </row>
    <row r="85" spans="1:11">
      <c r="K85" s="2"/>
    </row>
    <row r="86" spans="1:11">
      <c r="A86" s="3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3" spans="1:11">
      <c r="K93" s="2"/>
    </row>
    <row r="94" spans="1:11">
      <c r="K94" s="2"/>
    </row>
    <row r="95" spans="1:11">
      <c r="K95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3" spans="11:11">
      <c r="K103" s="2"/>
    </row>
    <row r="104" spans="11:11">
      <c r="K104" s="2"/>
    </row>
    <row r="105" spans="11:11">
      <c r="K105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3" spans="11:11">
      <c r="K113" s="2"/>
    </row>
    <row r="114" spans="11:11">
      <c r="K114" s="2"/>
    </row>
    <row r="115" spans="11:11">
      <c r="K115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3" spans="11:11">
      <c r="K123" s="2"/>
    </row>
    <row r="124" spans="11:11">
      <c r="K124" s="2"/>
    </row>
    <row r="125" spans="11:11">
      <c r="K125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3" spans="11:11">
      <c r="K133" s="2"/>
    </row>
    <row r="134" spans="11:11">
      <c r="K134" s="2"/>
    </row>
    <row r="135" spans="11:11">
      <c r="K135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  <row r="145" spans="11:11">
      <c r="K145" s="2"/>
    </row>
    <row r="146" spans="11:11">
      <c r="K146" s="2"/>
    </row>
    <row r="147" spans="11:11">
      <c r="K147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88FE-56AD-F840-98A4-B2BB015030B6}">
  <dimension ref="A1:K147"/>
  <sheetViews>
    <sheetView zoomScaleNormal="100" workbookViewId="0">
      <selection activeCell="I33" sqref="I33"/>
    </sheetView>
  </sheetViews>
  <sheetFormatPr defaultColWidth="10.6640625" defaultRowHeight="15.7"/>
  <sheetData>
    <row r="1" spans="1:10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3">
        <v>1</v>
      </c>
      <c r="B2">
        <f>C35</f>
        <v>20.7</v>
      </c>
      <c r="C2">
        <f>D35</f>
        <v>20.5</v>
      </c>
      <c r="D2">
        <f>E35</f>
        <v>20.5</v>
      </c>
      <c r="E2">
        <f>F35</f>
        <v>20.5</v>
      </c>
      <c r="F2">
        <f>G35</f>
        <v>20.7</v>
      </c>
      <c r="G2">
        <f t="shared" ref="G2:G7" si="0">B35</f>
        <v>19.86</v>
      </c>
      <c r="J2" t="s">
        <v>11</v>
      </c>
    </row>
    <row r="3" spans="1:10">
      <c r="A3" s="3">
        <v>2</v>
      </c>
      <c r="B3">
        <f t="shared" ref="B3:F6" si="1">C36</f>
        <v>43.2</v>
      </c>
      <c r="C3">
        <f t="shared" si="1"/>
        <v>42.88</v>
      </c>
      <c r="D3">
        <f t="shared" si="1"/>
        <v>42.78</v>
      </c>
      <c r="E3">
        <f t="shared" si="1"/>
        <v>42.8</v>
      </c>
      <c r="F3">
        <f t="shared" si="1"/>
        <v>43.26</v>
      </c>
      <c r="G3">
        <f t="shared" si="0"/>
        <v>41.34</v>
      </c>
    </row>
    <row r="4" spans="1:10">
      <c r="A4" s="3">
        <v>4</v>
      </c>
      <c r="B4">
        <f t="shared" si="1"/>
        <v>90.02</v>
      </c>
      <c r="C4">
        <f t="shared" si="1"/>
        <v>89.22</v>
      </c>
      <c r="D4">
        <f t="shared" si="1"/>
        <v>89.26</v>
      </c>
      <c r="E4">
        <f t="shared" si="1"/>
        <v>89.18</v>
      </c>
      <c r="F4">
        <f t="shared" si="1"/>
        <v>89.86</v>
      </c>
      <c r="G4">
        <f t="shared" si="0"/>
        <v>85.84</v>
      </c>
    </row>
    <row r="5" spans="1:10">
      <c r="A5" s="3">
        <v>8</v>
      </c>
      <c r="B5">
        <f t="shared" si="1"/>
        <v>178.4</v>
      </c>
      <c r="C5">
        <f t="shared" si="1"/>
        <v>176.8</v>
      </c>
      <c r="D5">
        <f t="shared" si="1"/>
        <v>176.4</v>
      </c>
      <c r="E5">
        <f t="shared" si="1"/>
        <v>176.8</v>
      </c>
      <c r="F5">
        <f t="shared" si="1"/>
        <v>178.2</v>
      </c>
      <c r="G5">
        <f t="shared" si="0"/>
        <v>169.8</v>
      </c>
    </row>
    <row r="6" spans="1:10">
      <c r="A6" s="3">
        <v>16</v>
      </c>
      <c r="B6">
        <f t="shared" si="1"/>
        <v>343</v>
      </c>
      <c r="C6">
        <f t="shared" si="1"/>
        <v>341</v>
      </c>
      <c r="D6">
        <f t="shared" si="1"/>
        <v>340.2</v>
      </c>
      <c r="E6">
        <f t="shared" si="1"/>
        <v>339.6</v>
      </c>
      <c r="F6">
        <f t="shared" si="1"/>
        <v>342.6</v>
      </c>
      <c r="G6">
        <f t="shared" si="0"/>
        <v>327</v>
      </c>
    </row>
    <row r="7" spans="1:10">
      <c r="A7" s="3">
        <v>20</v>
      </c>
      <c r="B7">
        <f t="shared" ref="B7" si="2">C40</f>
        <v>417.6</v>
      </c>
      <c r="C7">
        <f t="shared" ref="C7" si="3">D40</f>
        <v>415.6</v>
      </c>
      <c r="D7">
        <f t="shared" ref="D7" si="4">E40</f>
        <v>415.4</v>
      </c>
      <c r="E7">
        <f t="shared" ref="E7" si="5">F40</f>
        <v>414</v>
      </c>
      <c r="F7">
        <f t="shared" ref="F7" si="6">G40</f>
        <v>418</v>
      </c>
      <c r="G7">
        <f t="shared" si="0"/>
        <v>398.2</v>
      </c>
    </row>
    <row r="13" spans="1:10">
      <c r="A13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3">
        <f>A2</f>
        <v>1</v>
      </c>
      <c r="B14" s="1">
        <f t="shared" ref="B14:G19" si="7">B2/$G2*100</f>
        <v>104.22960725075529</v>
      </c>
      <c r="C14" s="1">
        <f t="shared" si="7"/>
        <v>103.22255790533737</v>
      </c>
      <c r="D14" s="1">
        <f t="shared" si="7"/>
        <v>103.22255790533737</v>
      </c>
      <c r="E14" s="1">
        <f t="shared" si="7"/>
        <v>103.22255790533737</v>
      </c>
      <c r="F14" s="1">
        <f t="shared" si="7"/>
        <v>104.22960725075529</v>
      </c>
      <c r="G14" s="1">
        <f t="shared" si="7"/>
        <v>100</v>
      </c>
      <c r="H14" s="1"/>
      <c r="I14" s="1"/>
    </row>
    <row r="15" spans="1:10">
      <c r="A15" s="3">
        <f>A3</f>
        <v>2</v>
      </c>
      <c r="B15" s="1">
        <f t="shared" si="7"/>
        <v>104.49927431059507</v>
      </c>
      <c r="C15" s="1">
        <f t="shared" si="7"/>
        <v>103.72520561199808</v>
      </c>
      <c r="D15" s="1">
        <f t="shared" si="7"/>
        <v>103.48330914368648</v>
      </c>
      <c r="E15" s="1">
        <f t="shared" si="7"/>
        <v>103.53168843734879</v>
      </c>
      <c r="F15" s="1">
        <f t="shared" si="7"/>
        <v>104.64441219158198</v>
      </c>
      <c r="G15" s="1">
        <f t="shared" si="7"/>
        <v>100</v>
      </c>
      <c r="H15" s="1"/>
      <c r="I15" s="1"/>
      <c r="J15" t="s">
        <v>10</v>
      </c>
    </row>
    <row r="16" spans="1:10">
      <c r="A16" s="3">
        <f>A4</f>
        <v>4</v>
      </c>
      <c r="B16" s="1">
        <f t="shared" si="7"/>
        <v>104.8695246971109</v>
      </c>
      <c r="C16" s="1">
        <f t="shared" si="7"/>
        <v>103.93755824790307</v>
      </c>
      <c r="D16" s="1">
        <f t="shared" si="7"/>
        <v>103.98415657036347</v>
      </c>
      <c r="E16" s="1">
        <f t="shared" si="7"/>
        <v>103.89095992544269</v>
      </c>
      <c r="F16" s="1">
        <f t="shared" si="7"/>
        <v>104.68313140726933</v>
      </c>
      <c r="G16" s="1">
        <f t="shared" si="7"/>
        <v>100</v>
      </c>
      <c r="H16" s="1"/>
      <c r="I16" s="1"/>
    </row>
    <row r="17" spans="1:10">
      <c r="A17" s="3">
        <f>A5</f>
        <v>8</v>
      </c>
      <c r="B17" s="1">
        <f t="shared" si="7"/>
        <v>105.06478209658421</v>
      </c>
      <c r="C17" s="1">
        <f t="shared" si="7"/>
        <v>104.12249705535925</v>
      </c>
      <c r="D17" s="1">
        <f t="shared" si="7"/>
        <v>103.886925795053</v>
      </c>
      <c r="E17" s="1">
        <f t="shared" si="7"/>
        <v>104.12249705535925</v>
      </c>
      <c r="F17" s="1">
        <f t="shared" si="7"/>
        <v>104.94699646643109</v>
      </c>
      <c r="G17" s="1">
        <f t="shared" si="7"/>
        <v>100</v>
      </c>
      <c r="H17" s="1"/>
      <c r="I17" s="1"/>
    </row>
    <row r="18" spans="1:10">
      <c r="A18" s="3">
        <f>A6</f>
        <v>16</v>
      </c>
      <c r="B18" s="1">
        <f t="shared" si="7"/>
        <v>104.89296636085628</v>
      </c>
      <c r="C18" s="1">
        <f t="shared" si="7"/>
        <v>104.28134556574923</v>
      </c>
      <c r="D18" s="1">
        <f t="shared" si="7"/>
        <v>104.03669724770641</v>
      </c>
      <c r="E18" s="1">
        <f t="shared" si="7"/>
        <v>103.85321100917433</v>
      </c>
      <c r="F18" s="1">
        <f t="shared" si="7"/>
        <v>104.77064220183487</v>
      </c>
      <c r="G18" s="1">
        <f t="shared" si="7"/>
        <v>100</v>
      </c>
      <c r="H18" s="1"/>
      <c r="I18" s="1"/>
    </row>
    <row r="19" spans="1:10">
      <c r="A19" s="3">
        <v>20</v>
      </c>
      <c r="B19" s="1">
        <f t="shared" si="7"/>
        <v>104.87192365645406</v>
      </c>
      <c r="C19" s="1">
        <f t="shared" si="7"/>
        <v>104.36966348568559</v>
      </c>
      <c r="D19" s="1">
        <f t="shared" si="7"/>
        <v>104.31943746860874</v>
      </c>
      <c r="E19" s="1">
        <f t="shared" si="7"/>
        <v>103.96785534907083</v>
      </c>
      <c r="F19" s="1">
        <f t="shared" si="7"/>
        <v>104.97237569060773</v>
      </c>
      <c r="G19" s="1">
        <f t="shared" si="7"/>
        <v>100</v>
      </c>
      <c r="H19" s="1"/>
      <c r="I19" s="1"/>
    </row>
    <row r="20" spans="1:10">
      <c r="B20" s="1"/>
      <c r="C20" s="1"/>
      <c r="D20" s="1"/>
      <c r="E20" s="1"/>
      <c r="F20" s="1"/>
      <c r="G20" s="1"/>
      <c r="H20" s="1"/>
      <c r="I20" s="1"/>
    </row>
    <row r="21" spans="1:10">
      <c r="B21" s="1"/>
      <c r="C21" s="1"/>
      <c r="D21" s="1"/>
      <c r="E21" s="1"/>
      <c r="F21" s="1"/>
      <c r="G21" s="1"/>
      <c r="H21" s="1"/>
      <c r="I21" s="1"/>
    </row>
    <row r="22" spans="1:10">
      <c r="B22" s="1"/>
      <c r="C22" s="1"/>
      <c r="D22" s="1"/>
      <c r="E22" s="1"/>
      <c r="F22" s="1"/>
      <c r="G22" s="1"/>
      <c r="H22" s="1"/>
      <c r="I22" s="1"/>
    </row>
    <row r="23" spans="1:10">
      <c r="B23" s="1"/>
      <c r="C23" s="1"/>
      <c r="D23" s="1"/>
      <c r="E23" s="1"/>
      <c r="F23" s="1"/>
      <c r="G23" s="1"/>
      <c r="H23" s="1"/>
      <c r="I23" s="1"/>
    </row>
    <row r="25" spans="1:10">
      <c r="A25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0">
      <c r="A26">
        <f>A2</f>
        <v>1</v>
      </c>
      <c r="B26">
        <f>C51</f>
        <v>99.9</v>
      </c>
      <c r="C26">
        <f>D51</f>
        <v>51.68</v>
      </c>
      <c r="D26">
        <f>E51</f>
        <v>28.75</v>
      </c>
      <c r="E26">
        <f>F51</f>
        <v>24.79</v>
      </c>
      <c r="F26">
        <f>G51</f>
        <v>93.03</v>
      </c>
      <c r="G26">
        <f t="shared" ref="G26:G31" si="8">B51</f>
        <v>7.12</v>
      </c>
    </row>
    <row r="27" spans="1:10">
      <c r="A27">
        <f>A3</f>
        <v>2</v>
      </c>
      <c r="B27">
        <f t="shared" ref="B27:F30" si="9">C52</f>
        <v>99.92</v>
      </c>
      <c r="C27">
        <f t="shared" si="9"/>
        <v>51.75</v>
      </c>
      <c r="D27">
        <f t="shared" si="9"/>
        <v>25.33</v>
      </c>
      <c r="E27">
        <f t="shared" si="9"/>
        <v>21.45</v>
      </c>
      <c r="F27">
        <f t="shared" si="9"/>
        <v>92.74</v>
      </c>
      <c r="G27">
        <f t="shared" si="8"/>
        <v>7.53</v>
      </c>
    </row>
    <row r="28" spans="1:10">
      <c r="A28">
        <f>A4</f>
        <v>4</v>
      </c>
      <c r="B28">
        <f t="shared" si="9"/>
        <v>99.93</v>
      </c>
      <c r="C28">
        <f t="shared" si="9"/>
        <v>51.81</v>
      </c>
      <c r="D28">
        <f t="shared" si="9"/>
        <v>21.97</v>
      </c>
      <c r="E28">
        <f t="shared" si="9"/>
        <v>18.079999999999998</v>
      </c>
      <c r="F28">
        <f t="shared" si="9"/>
        <v>92.44</v>
      </c>
      <c r="G28">
        <f t="shared" si="8"/>
        <v>7.73</v>
      </c>
      <c r="J28" t="s">
        <v>9</v>
      </c>
    </row>
    <row r="29" spans="1:10">
      <c r="A29">
        <f>A5</f>
        <v>8</v>
      </c>
      <c r="B29">
        <f t="shared" si="9"/>
        <v>99.93</v>
      </c>
      <c r="C29">
        <f t="shared" si="9"/>
        <v>51.84</v>
      </c>
      <c r="D29">
        <f t="shared" si="9"/>
        <v>22.56</v>
      </c>
      <c r="E29">
        <f t="shared" si="9"/>
        <v>18.63</v>
      </c>
      <c r="F29">
        <f t="shared" si="9"/>
        <v>92.41</v>
      </c>
      <c r="G29">
        <f t="shared" si="8"/>
        <v>7.69</v>
      </c>
    </row>
    <row r="30" spans="1:10">
      <c r="A30">
        <f>A6</f>
        <v>16</v>
      </c>
      <c r="B30">
        <f t="shared" si="9"/>
        <v>99.93</v>
      </c>
      <c r="C30">
        <f t="shared" si="9"/>
        <v>51.73</v>
      </c>
      <c r="D30">
        <f t="shared" si="9"/>
        <v>25.51</v>
      </c>
      <c r="E30">
        <f t="shared" si="9"/>
        <v>20.76</v>
      </c>
      <c r="F30">
        <f t="shared" si="9"/>
        <v>92.65</v>
      </c>
      <c r="G30">
        <f t="shared" si="8"/>
        <v>7.44</v>
      </c>
    </row>
    <row r="31" spans="1:10">
      <c r="A31">
        <v>20</v>
      </c>
      <c r="B31">
        <f t="shared" ref="B31" si="10">C56</f>
        <v>99.88</v>
      </c>
      <c r="C31">
        <f t="shared" ref="C31" si="11">D56</f>
        <v>51.69</v>
      </c>
      <c r="D31">
        <f t="shared" ref="D31" si="12">E56</f>
        <v>27.07</v>
      </c>
      <c r="E31">
        <f t="shared" ref="E31" si="13">F56</f>
        <v>22.02</v>
      </c>
      <c r="F31">
        <f t="shared" ref="F31" si="14">G56</f>
        <v>92.6</v>
      </c>
      <c r="G31">
        <f t="shared" si="8"/>
        <v>7.31</v>
      </c>
    </row>
    <row r="33" spans="1:7" ht="16.350000000000001">
      <c r="A33" s="9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 ht="16.350000000000001">
      <c r="A34" s="9" t="s">
        <v>4</v>
      </c>
      <c r="B34" s="7"/>
      <c r="C34" s="7"/>
      <c r="D34" s="7"/>
      <c r="E34" s="7"/>
      <c r="F34" s="7"/>
      <c r="G34" s="7"/>
    </row>
    <row r="35" spans="1:7" ht="16.350000000000001">
      <c r="A35" s="9">
        <v>1</v>
      </c>
      <c r="B35" s="7">
        <v>19.86</v>
      </c>
      <c r="C35" s="7">
        <v>20.7</v>
      </c>
      <c r="D35" s="7">
        <v>20.5</v>
      </c>
      <c r="E35" s="7">
        <v>20.5</v>
      </c>
      <c r="F35" s="7">
        <v>20.5</v>
      </c>
      <c r="G35" s="7">
        <v>20.7</v>
      </c>
    </row>
    <row r="36" spans="1:7" ht="16.350000000000001">
      <c r="A36" s="9">
        <v>2</v>
      </c>
      <c r="B36" s="7">
        <v>41.34</v>
      </c>
      <c r="C36" s="7">
        <v>43.2</v>
      </c>
      <c r="D36" s="7">
        <v>42.88</v>
      </c>
      <c r="E36" s="7">
        <v>42.78</v>
      </c>
      <c r="F36" s="7">
        <v>42.8</v>
      </c>
      <c r="G36" s="7">
        <v>43.26</v>
      </c>
    </row>
    <row r="37" spans="1:7" ht="16.350000000000001">
      <c r="A37" s="9">
        <v>4</v>
      </c>
      <c r="B37" s="7">
        <v>85.84</v>
      </c>
      <c r="C37" s="7">
        <v>90.02</v>
      </c>
      <c r="D37" s="7">
        <v>89.22</v>
      </c>
      <c r="E37" s="7">
        <v>89.26</v>
      </c>
      <c r="F37" s="7">
        <v>89.18</v>
      </c>
      <c r="G37" s="7">
        <v>89.86</v>
      </c>
    </row>
    <row r="38" spans="1:7" ht="16.350000000000001">
      <c r="A38" s="9">
        <v>8</v>
      </c>
      <c r="B38" s="7">
        <v>169.8</v>
      </c>
      <c r="C38" s="7">
        <v>178.4</v>
      </c>
      <c r="D38" s="7">
        <v>176.8</v>
      </c>
      <c r="E38" s="7">
        <v>176.4</v>
      </c>
      <c r="F38" s="7">
        <v>176.8</v>
      </c>
      <c r="G38" s="7">
        <v>178.2</v>
      </c>
    </row>
    <row r="39" spans="1:7" ht="16.350000000000001">
      <c r="A39" s="9">
        <v>16</v>
      </c>
      <c r="B39" s="7">
        <v>327</v>
      </c>
      <c r="C39" s="7">
        <v>343</v>
      </c>
      <c r="D39" s="7">
        <v>341</v>
      </c>
      <c r="E39" s="7">
        <v>340.2</v>
      </c>
      <c r="F39" s="7">
        <v>339.6</v>
      </c>
      <c r="G39" s="7">
        <v>342.6</v>
      </c>
    </row>
    <row r="40" spans="1:7" ht="16.350000000000001">
      <c r="A40" s="9">
        <v>20</v>
      </c>
      <c r="B40" s="7">
        <v>398.2</v>
      </c>
      <c r="C40" s="7">
        <v>417.6</v>
      </c>
      <c r="D40" s="7">
        <v>415.6</v>
      </c>
      <c r="E40" s="7">
        <v>415.4</v>
      </c>
      <c r="F40" s="7">
        <v>414</v>
      </c>
      <c r="G40" s="7">
        <v>418</v>
      </c>
    </row>
    <row r="41" spans="1:7" ht="16.350000000000001">
      <c r="A41" s="9" t="s">
        <v>5</v>
      </c>
      <c r="B41" s="7"/>
      <c r="C41" s="7"/>
      <c r="D41" s="7"/>
      <c r="E41" s="7"/>
      <c r="F41" s="7"/>
      <c r="G41" s="7"/>
    </row>
    <row r="42" spans="1:7" ht="16.350000000000001">
      <c r="A42" s="9">
        <v>1</v>
      </c>
      <c r="B42" s="7">
        <v>0.05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</row>
    <row r="43" spans="1:7" ht="16.350000000000001">
      <c r="A43" s="9">
        <v>2</v>
      </c>
      <c r="B43" s="7">
        <v>1.63</v>
      </c>
      <c r="C43" s="7">
        <v>1.84</v>
      </c>
      <c r="D43" s="7">
        <v>1.78</v>
      </c>
      <c r="E43" s="7">
        <v>1.74</v>
      </c>
      <c r="F43" s="7">
        <v>1.8</v>
      </c>
      <c r="G43" s="7">
        <v>1.81</v>
      </c>
    </row>
    <row r="44" spans="1:7" ht="16.350000000000001">
      <c r="A44" s="9">
        <v>4</v>
      </c>
      <c r="B44" s="7">
        <v>2.4</v>
      </c>
      <c r="C44" s="7">
        <v>2.67</v>
      </c>
      <c r="D44" s="7">
        <v>2.67</v>
      </c>
      <c r="E44" s="7">
        <v>2.7</v>
      </c>
      <c r="F44" s="7">
        <v>2.64</v>
      </c>
      <c r="G44" s="7">
        <v>2.7</v>
      </c>
    </row>
    <row r="45" spans="1:7" ht="16.350000000000001">
      <c r="A45" s="9">
        <v>8</v>
      </c>
      <c r="B45" s="7">
        <v>5.56</v>
      </c>
      <c r="C45" s="7">
        <v>6.05</v>
      </c>
      <c r="D45" s="7">
        <v>6.37</v>
      </c>
      <c r="E45" s="7">
        <v>6.89</v>
      </c>
      <c r="F45" s="7">
        <v>6.37</v>
      </c>
      <c r="G45" s="7">
        <v>6.31</v>
      </c>
    </row>
    <row r="46" spans="1:7" ht="16.350000000000001">
      <c r="A46" s="9">
        <v>16</v>
      </c>
      <c r="B46" s="7">
        <v>8.6</v>
      </c>
      <c r="C46" s="7">
        <v>10.3</v>
      </c>
      <c r="D46" s="7">
        <v>9.82</v>
      </c>
      <c r="E46" s="7">
        <v>9.58</v>
      </c>
      <c r="F46" s="7">
        <v>9.91</v>
      </c>
      <c r="G46" s="7">
        <v>9.93</v>
      </c>
    </row>
    <row r="47" spans="1:7" ht="16.350000000000001">
      <c r="A47" s="9">
        <v>20</v>
      </c>
      <c r="B47" s="7">
        <v>0.75</v>
      </c>
      <c r="C47" s="7">
        <v>0.49</v>
      </c>
      <c r="D47" s="7">
        <v>0.49</v>
      </c>
      <c r="E47" s="7">
        <v>1.02</v>
      </c>
      <c r="F47" s="7">
        <v>0.63</v>
      </c>
      <c r="G47" s="7">
        <v>0.89</v>
      </c>
    </row>
    <row r="48" spans="1:7">
      <c r="A48" s="7"/>
      <c r="B48" s="7"/>
      <c r="C48" s="7"/>
      <c r="D48" s="7"/>
      <c r="E48" s="7"/>
      <c r="F48" s="7"/>
      <c r="G48" s="7"/>
    </row>
    <row r="49" spans="1:11" ht="16.350000000000001">
      <c r="A49" s="9" t="s">
        <v>6</v>
      </c>
      <c r="B49" s="7" t="s">
        <v>7</v>
      </c>
      <c r="C49" s="7" t="s">
        <v>8</v>
      </c>
      <c r="D49" s="7">
        <v>1</v>
      </c>
      <c r="E49" s="7"/>
      <c r="F49" s="7"/>
      <c r="G49" s="7"/>
    </row>
    <row r="50" spans="1:11" ht="16.350000000000001">
      <c r="A50" s="9" t="s">
        <v>4</v>
      </c>
      <c r="B50" s="7"/>
      <c r="C50" s="7"/>
      <c r="D50" s="7"/>
      <c r="E50" s="7"/>
      <c r="F50" s="7"/>
      <c r="G50" s="7"/>
    </row>
    <row r="51" spans="1:11" ht="16.350000000000001">
      <c r="A51" s="9">
        <v>1</v>
      </c>
      <c r="B51" s="7">
        <v>7.12</v>
      </c>
      <c r="C51" s="7">
        <v>99.9</v>
      </c>
      <c r="D51" s="7">
        <v>51.68</v>
      </c>
      <c r="E51" s="7">
        <v>28.75</v>
      </c>
      <c r="F51" s="7">
        <v>24.79</v>
      </c>
      <c r="G51" s="7">
        <v>93.03</v>
      </c>
      <c r="K51" s="2"/>
    </row>
    <row r="52" spans="1:11" ht="16.350000000000001">
      <c r="A52" s="9">
        <v>2</v>
      </c>
      <c r="B52" s="7">
        <v>7.53</v>
      </c>
      <c r="C52" s="7">
        <v>99.92</v>
      </c>
      <c r="D52" s="7">
        <v>51.75</v>
      </c>
      <c r="E52" s="7">
        <v>25.33</v>
      </c>
      <c r="F52" s="7">
        <v>21.45</v>
      </c>
      <c r="G52" s="7">
        <v>92.74</v>
      </c>
      <c r="K52" s="2"/>
    </row>
    <row r="53" spans="1:11" ht="16.350000000000001">
      <c r="A53" s="9">
        <v>4</v>
      </c>
      <c r="B53" s="7">
        <v>7.73</v>
      </c>
      <c r="C53" s="7">
        <v>99.93</v>
      </c>
      <c r="D53" s="7">
        <v>51.81</v>
      </c>
      <c r="E53" s="7">
        <v>21.97</v>
      </c>
      <c r="F53" s="7">
        <v>18.079999999999998</v>
      </c>
      <c r="G53" s="7">
        <v>92.44</v>
      </c>
      <c r="K53" s="2"/>
    </row>
    <row r="54" spans="1:11" ht="16.350000000000001">
      <c r="A54" s="9">
        <v>8</v>
      </c>
      <c r="B54" s="7">
        <v>7.69</v>
      </c>
      <c r="C54" s="7">
        <v>99.93</v>
      </c>
      <c r="D54" s="7">
        <v>51.84</v>
      </c>
      <c r="E54" s="7">
        <v>22.56</v>
      </c>
      <c r="F54" s="7">
        <v>18.63</v>
      </c>
      <c r="G54" s="7">
        <v>92.41</v>
      </c>
      <c r="K54" s="2"/>
    </row>
    <row r="55" spans="1:11" ht="16.350000000000001">
      <c r="A55" s="9">
        <v>16</v>
      </c>
      <c r="B55" s="7">
        <v>7.44</v>
      </c>
      <c r="C55" s="7">
        <v>99.93</v>
      </c>
      <c r="D55" s="7">
        <v>51.73</v>
      </c>
      <c r="E55" s="7">
        <v>25.51</v>
      </c>
      <c r="F55" s="7">
        <v>20.76</v>
      </c>
      <c r="G55" s="7">
        <v>92.65</v>
      </c>
      <c r="K55" s="2"/>
    </row>
    <row r="56" spans="1:11" ht="16.350000000000001">
      <c r="A56" s="9">
        <v>20</v>
      </c>
      <c r="B56" s="7">
        <v>7.31</v>
      </c>
      <c r="C56" s="7">
        <v>99.88</v>
      </c>
      <c r="D56" s="7">
        <v>51.69</v>
      </c>
      <c r="E56" s="7">
        <v>27.07</v>
      </c>
      <c r="F56" s="7">
        <v>22.02</v>
      </c>
      <c r="G56" s="7">
        <v>92.6</v>
      </c>
      <c r="K56" s="2"/>
    </row>
    <row r="57" spans="1:11" ht="16.350000000000001">
      <c r="A57" s="9" t="s">
        <v>5</v>
      </c>
      <c r="B57" s="7"/>
      <c r="C57" s="7"/>
      <c r="D57" s="7"/>
      <c r="E57" s="7"/>
      <c r="F57" s="7"/>
      <c r="G57" s="7"/>
      <c r="K57" s="2"/>
    </row>
    <row r="58" spans="1:11" ht="16.350000000000001">
      <c r="A58" s="9">
        <v>1</v>
      </c>
      <c r="B58" s="7">
        <v>0.05</v>
      </c>
      <c r="C58" s="7">
        <v>0</v>
      </c>
      <c r="D58" s="7">
        <v>0.02</v>
      </c>
      <c r="E58" s="7">
        <v>0.12</v>
      </c>
      <c r="F58" s="7">
        <v>0.09</v>
      </c>
      <c r="G58" s="7">
        <v>0.01</v>
      </c>
    </row>
    <row r="59" spans="1:11" ht="16.350000000000001">
      <c r="A59" s="9">
        <v>2</v>
      </c>
      <c r="B59" s="7">
        <v>0.32</v>
      </c>
      <c r="C59" s="7">
        <v>0</v>
      </c>
      <c r="D59" s="7">
        <v>0.05</v>
      </c>
      <c r="E59" s="7">
        <v>3</v>
      </c>
      <c r="F59" s="7">
        <v>3.15</v>
      </c>
      <c r="G59" s="7">
        <v>0.28999999999999998</v>
      </c>
      <c r="K59" s="2"/>
    </row>
    <row r="60" spans="1:11" ht="16.350000000000001">
      <c r="A60" s="9">
        <v>4</v>
      </c>
      <c r="B60" s="7">
        <v>0.24</v>
      </c>
      <c r="C60" s="7">
        <v>0</v>
      </c>
      <c r="D60" s="7">
        <v>0.1</v>
      </c>
      <c r="E60" s="7">
        <v>2.36</v>
      </c>
      <c r="F60" s="7">
        <v>2.33</v>
      </c>
      <c r="G60" s="7">
        <v>0.25</v>
      </c>
      <c r="K60" s="2"/>
    </row>
    <row r="61" spans="1:11" ht="16.350000000000001">
      <c r="A61" s="9">
        <v>8</v>
      </c>
      <c r="B61" s="7">
        <v>0.24</v>
      </c>
      <c r="C61" s="7">
        <v>0.01</v>
      </c>
      <c r="D61" s="7">
        <v>0.09</v>
      </c>
      <c r="E61" s="7">
        <v>2.69</v>
      </c>
      <c r="F61" s="7">
        <v>2.68</v>
      </c>
      <c r="G61" s="7">
        <v>0.32</v>
      </c>
      <c r="K61" s="2"/>
    </row>
    <row r="62" spans="1:11" ht="16.350000000000001">
      <c r="A62" s="9">
        <v>16</v>
      </c>
      <c r="B62" s="7">
        <v>0.18</v>
      </c>
      <c r="C62" s="7">
        <v>0.01</v>
      </c>
      <c r="D62" s="7">
        <v>7.0000000000000007E-2</v>
      </c>
      <c r="E62" s="7">
        <v>2.09</v>
      </c>
      <c r="F62" s="7">
        <v>1.99</v>
      </c>
      <c r="G62" s="7">
        <v>0.21</v>
      </c>
      <c r="K62" s="2"/>
    </row>
    <row r="63" spans="1:11" ht="16.350000000000001">
      <c r="A63" s="9">
        <v>20</v>
      </c>
      <c r="B63" s="7">
        <v>0.04</v>
      </c>
      <c r="C63" s="7">
        <v>0.02</v>
      </c>
      <c r="D63" s="7">
        <v>0.04</v>
      </c>
      <c r="E63" s="7">
        <v>0.15</v>
      </c>
      <c r="F63" s="7">
        <v>0.1</v>
      </c>
      <c r="G63" s="7">
        <v>0.06</v>
      </c>
      <c r="K63" s="2"/>
    </row>
    <row r="64" spans="1:11">
      <c r="K64" s="2"/>
    </row>
    <row r="65" spans="11:11">
      <c r="K65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3" spans="11:11">
      <c r="K73" s="2"/>
    </row>
    <row r="74" spans="11:11">
      <c r="K74" s="2"/>
    </row>
    <row r="75" spans="11:11">
      <c r="K75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K83" s="2"/>
    </row>
    <row r="84" spans="1:11">
      <c r="K84" s="2"/>
    </row>
    <row r="85" spans="1:11">
      <c r="K85" s="2"/>
    </row>
    <row r="86" spans="1:11">
      <c r="A86" s="3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3" spans="1:11">
      <c r="K93" s="2"/>
    </row>
    <row r="94" spans="1:11">
      <c r="K94" s="2"/>
    </row>
    <row r="95" spans="1:11">
      <c r="K95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3" spans="11:11">
      <c r="K103" s="2"/>
    </row>
    <row r="104" spans="11:11">
      <c r="K104" s="2"/>
    </row>
    <row r="105" spans="11:11">
      <c r="K105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3" spans="11:11">
      <c r="K113" s="2"/>
    </row>
    <row r="114" spans="11:11">
      <c r="K114" s="2"/>
    </row>
    <row r="115" spans="11:11">
      <c r="K115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3" spans="11:11">
      <c r="K123" s="2"/>
    </row>
    <row r="124" spans="11:11">
      <c r="K124" s="2"/>
    </row>
    <row r="125" spans="11:11">
      <c r="K125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3" spans="11:11">
      <c r="K133" s="2"/>
    </row>
    <row r="134" spans="11:11">
      <c r="K134" s="2"/>
    </row>
    <row r="135" spans="11:11">
      <c r="K135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  <row r="145" spans="11:11">
      <c r="K145" s="2"/>
    </row>
    <row r="146" spans="11:11">
      <c r="K146" s="2"/>
    </row>
    <row r="147" spans="11:11">
      <c r="K147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4909-6A9F-CC4D-B257-84698A13BFF6}">
  <dimension ref="A1:K144"/>
  <sheetViews>
    <sheetView topLeftCell="A21" zoomScaleNormal="100" workbookViewId="0">
      <selection activeCell="G28" sqref="G28"/>
    </sheetView>
  </sheetViews>
  <sheetFormatPr defaultColWidth="10.6640625" defaultRowHeight="15.7"/>
  <sheetData>
    <row r="1" spans="1:10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2">
        <v>8</v>
      </c>
      <c r="B2">
        <f>C35</f>
        <v>98540</v>
      </c>
      <c r="C2">
        <f>D35</f>
        <v>93840</v>
      </c>
      <c r="D2">
        <f>E35</f>
        <v>94000</v>
      </c>
      <c r="E2">
        <f>F35</f>
        <v>94860</v>
      </c>
      <c r="F2">
        <f>G35</f>
        <v>97780</v>
      </c>
      <c r="G2">
        <f>B35</f>
        <v>81280</v>
      </c>
      <c r="J2" t="s">
        <v>12</v>
      </c>
    </row>
    <row r="3" spans="1:10">
      <c r="A3" s="2">
        <v>16</v>
      </c>
      <c r="B3">
        <f t="shared" ref="B3:F6" si="0">C36</f>
        <v>59000</v>
      </c>
      <c r="C3">
        <f t="shared" si="0"/>
        <v>57740</v>
      </c>
      <c r="D3">
        <f t="shared" si="0"/>
        <v>57620</v>
      </c>
      <c r="E3">
        <f t="shared" si="0"/>
        <v>57700</v>
      </c>
      <c r="F3">
        <f t="shared" si="0"/>
        <v>58980</v>
      </c>
      <c r="G3">
        <f>B36</f>
        <v>52360</v>
      </c>
    </row>
    <row r="4" spans="1:10">
      <c r="A4" s="2">
        <v>32</v>
      </c>
      <c r="B4">
        <f t="shared" si="0"/>
        <v>44340</v>
      </c>
      <c r="C4">
        <f t="shared" si="0"/>
        <v>43480</v>
      </c>
      <c r="D4">
        <f t="shared" si="0"/>
        <v>43380</v>
      </c>
      <c r="E4">
        <f t="shared" si="0"/>
        <v>43480</v>
      </c>
      <c r="F4">
        <f t="shared" si="0"/>
        <v>44300</v>
      </c>
      <c r="G4">
        <f>B37</f>
        <v>40460</v>
      </c>
    </row>
    <row r="5" spans="1:10">
      <c r="A5" s="2">
        <v>64</v>
      </c>
      <c r="B5">
        <f t="shared" si="0"/>
        <v>29780</v>
      </c>
      <c r="C5">
        <f t="shared" si="0"/>
        <v>29420</v>
      </c>
      <c r="D5">
        <f t="shared" si="0"/>
        <v>29400</v>
      </c>
      <c r="E5">
        <f t="shared" si="0"/>
        <v>29420</v>
      </c>
      <c r="F5">
        <f t="shared" si="0"/>
        <v>29760</v>
      </c>
      <c r="G5">
        <f>B38</f>
        <v>27960</v>
      </c>
    </row>
    <row r="6" spans="1:10">
      <c r="A6" s="2">
        <v>128</v>
      </c>
      <c r="B6">
        <f t="shared" si="0"/>
        <v>16640</v>
      </c>
      <c r="C6">
        <f t="shared" si="0"/>
        <v>16500</v>
      </c>
      <c r="D6">
        <f t="shared" si="0"/>
        <v>16060</v>
      </c>
      <c r="E6">
        <f t="shared" si="0"/>
        <v>16540</v>
      </c>
      <c r="F6">
        <f t="shared" si="0"/>
        <v>16620</v>
      </c>
      <c r="G6">
        <f>B39</f>
        <v>16080</v>
      </c>
    </row>
    <row r="7" spans="1:10">
      <c r="A7" s="2"/>
    </row>
    <row r="13" spans="1:10">
      <c r="A13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2">
        <f>A2</f>
        <v>8</v>
      </c>
      <c r="B14" s="1">
        <f t="shared" ref="B14:G18" si="1">B2/$G2*100</f>
        <v>121.23523622047243</v>
      </c>
      <c r="C14" s="1">
        <f t="shared" si="1"/>
        <v>115.45275590551181</v>
      </c>
      <c r="D14" s="1">
        <f t="shared" si="1"/>
        <v>115.64960629921259</v>
      </c>
      <c r="E14" s="1">
        <f t="shared" si="1"/>
        <v>116.70767716535433</v>
      </c>
      <c r="F14" s="1">
        <f t="shared" si="1"/>
        <v>120.3001968503937</v>
      </c>
      <c r="G14" s="1">
        <f t="shared" si="1"/>
        <v>100</v>
      </c>
      <c r="H14" s="1"/>
      <c r="I14" s="1"/>
    </row>
    <row r="15" spans="1:10">
      <c r="A15" s="2">
        <f>A3</f>
        <v>16</v>
      </c>
      <c r="B15" s="1">
        <f t="shared" si="1"/>
        <v>112.68143621084799</v>
      </c>
      <c r="C15" s="1">
        <f t="shared" si="1"/>
        <v>110.27501909854851</v>
      </c>
      <c r="D15" s="1">
        <f t="shared" si="1"/>
        <v>110.04583651642474</v>
      </c>
      <c r="E15" s="1">
        <f t="shared" si="1"/>
        <v>110.19862490450724</v>
      </c>
      <c r="F15" s="1">
        <f t="shared" si="1"/>
        <v>112.64323911382735</v>
      </c>
      <c r="G15" s="1">
        <f t="shared" si="1"/>
        <v>100</v>
      </c>
      <c r="H15" s="1"/>
      <c r="I15" s="1"/>
      <c r="J15" t="s">
        <v>10</v>
      </c>
    </row>
    <row r="16" spans="1:10">
      <c r="A16" s="2">
        <f>A4</f>
        <v>32</v>
      </c>
      <c r="B16" s="1">
        <f t="shared" si="1"/>
        <v>109.58971824023726</v>
      </c>
      <c r="C16" s="1">
        <f t="shared" si="1"/>
        <v>107.46416213544241</v>
      </c>
      <c r="D16" s="1">
        <f t="shared" si="1"/>
        <v>107.21700444883835</v>
      </c>
      <c r="E16" s="1">
        <f t="shared" si="1"/>
        <v>107.46416213544241</v>
      </c>
      <c r="F16" s="1">
        <f t="shared" si="1"/>
        <v>109.49085516559565</v>
      </c>
      <c r="G16" s="1">
        <f t="shared" si="1"/>
        <v>100</v>
      </c>
      <c r="H16" s="1"/>
      <c r="I16" s="1"/>
    </row>
    <row r="17" spans="1:10">
      <c r="A17" s="2">
        <f>A5</f>
        <v>64</v>
      </c>
      <c r="B17" s="1">
        <f t="shared" si="1"/>
        <v>106.50929899856938</v>
      </c>
      <c r="C17" s="1">
        <f t="shared" si="1"/>
        <v>105.22174535050071</v>
      </c>
      <c r="D17" s="1">
        <f t="shared" si="1"/>
        <v>105.15021459227466</v>
      </c>
      <c r="E17" s="1">
        <f t="shared" si="1"/>
        <v>105.22174535050071</v>
      </c>
      <c r="F17" s="1">
        <f t="shared" si="1"/>
        <v>106.43776824034335</v>
      </c>
      <c r="G17" s="1">
        <f t="shared" si="1"/>
        <v>100</v>
      </c>
      <c r="H17" s="1"/>
      <c r="I17" s="1"/>
    </row>
    <row r="18" spans="1:10">
      <c r="A18" s="2">
        <f>A6</f>
        <v>128</v>
      </c>
      <c r="B18" s="1">
        <f t="shared" si="1"/>
        <v>103.48258706467661</v>
      </c>
      <c r="C18" s="1">
        <f t="shared" si="1"/>
        <v>102.61194029850746</v>
      </c>
      <c r="D18" s="1">
        <f t="shared" si="1"/>
        <v>99.875621890547265</v>
      </c>
      <c r="E18" s="1">
        <f t="shared" si="1"/>
        <v>102.86069651741295</v>
      </c>
      <c r="F18" s="1">
        <f t="shared" si="1"/>
        <v>103.35820895522387</v>
      </c>
      <c r="G18" s="1">
        <f t="shared" si="1"/>
        <v>100</v>
      </c>
      <c r="H18" s="1"/>
      <c r="I18" s="1"/>
    </row>
    <row r="19" spans="1:10">
      <c r="A19" s="2"/>
      <c r="B19" s="1"/>
      <c r="C19" s="1"/>
      <c r="D19" s="1"/>
      <c r="E19" s="1"/>
      <c r="F19" s="1"/>
      <c r="G19" s="1"/>
      <c r="H19" s="1"/>
      <c r="I19" s="1"/>
    </row>
    <row r="20" spans="1:10">
      <c r="B20" s="1"/>
      <c r="C20" s="1"/>
      <c r="D20" s="1"/>
      <c r="E20" s="1"/>
      <c r="F20" s="1"/>
      <c r="G20" s="1"/>
      <c r="H20" s="1"/>
      <c r="I20" s="1"/>
    </row>
    <row r="21" spans="1:10">
      <c r="B21" s="1"/>
      <c r="C21" s="1"/>
      <c r="D21" s="1"/>
      <c r="E21" s="1"/>
      <c r="F21" s="1"/>
      <c r="G21" s="1"/>
      <c r="H21" s="1"/>
      <c r="I21" s="1"/>
    </row>
    <row r="22" spans="1:10">
      <c r="B22" s="1"/>
      <c r="C22" s="1"/>
      <c r="D22" s="1"/>
      <c r="E22" s="1"/>
      <c r="F22" s="1"/>
      <c r="G22" s="1"/>
      <c r="H22" s="1"/>
      <c r="I22" s="1"/>
    </row>
    <row r="23" spans="1:10">
      <c r="B23" s="1"/>
      <c r="C23" s="1"/>
      <c r="D23" s="1"/>
      <c r="E23" s="1"/>
      <c r="F23" s="1"/>
      <c r="G23" s="1"/>
      <c r="H23" s="1"/>
      <c r="I23" s="1"/>
    </row>
    <row r="25" spans="1:10">
      <c r="A25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0">
      <c r="A26">
        <f>A2</f>
        <v>8</v>
      </c>
      <c r="B26">
        <f>C49</f>
        <v>99.91</v>
      </c>
      <c r="C26">
        <f>D49</f>
        <v>59.08</v>
      </c>
      <c r="D26">
        <f>E49</f>
        <v>60.25</v>
      </c>
      <c r="E26">
        <f>F49</f>
        <v>44.81</v>
      </c>
      <c r="F26">
        <f>G49</f>
        <v>94.84</v>
      </c>
      <c r="G26">
        <f>B49</f>
        <v>30.99</v>
      </c>
    </row>
    <row r="27" spans="1:10">
      <c r="A27">
        <f>A3</f>
        <v>16</v>
      </c>
      <c r="B27">
        <f t="shared" ref="B27:F30" si="2">C50</f>
        <v>99.91</v>
      </c>
      <c r="C27">
        <f t="shared" si="2"/>
        <v>56.13</v>
      </c>
      <c r="D27">
        <f t="shared" si="2"/>
        <v>38.22</v>
      </c>
      <c r="E27">
        <f t="shared" si="2"/>
        <v>29.57</v>
      </c>
      <c r="F27">
        <f t="shared" si="2"/>
        <v>93.43</v>
      </c>
      <c r="G27">
        <f>B50</f>
        <v>21.42</v>
      </c>
    </row>
    <row r="28" spans="1:10">
      <c r="A28">
        <f>A4</f>
        <v>32</v>
      </c>
      <c r="B28">
        <f t="shared" si="2"/>
        <v>99.91</v>
      </c>
      <c r="C28">
        <f t="shared" si="2"/>
        <v>55.49</v>
      </c>
      <c r="D28">
        <f t="shared" si="2"/>
        <v>30.69</v>
      </c>
      <c r="E28">
        <f t="shared" si="2"/>
        <v>24.4</v>
      </c>
      <c r="F28">
        <f t="shared" si="2"/>
        <v>92.98</v>
      </c>
      <c r="G28">
        <f>B51</f>
        <v>18.3</v>
      </c>
      <c r="J28" t="s">
        <v>9</v>
      </c>
    </row>
    <row r="29" spans="1:10">
      <c r="A29">
        <f>A5</f>
        <v>64</v>
      </c>
      <c r="B29">
        <f t="shared" si="2"/>
        <v>99.91</v>
      </c>
      <c r="C29">
        <f t="shared" si="2"/>
        <v>54.79</v>
      </c>
      <c r="D29">
        <f t="shared" si="2"/>
        <v>22.96</v>
      </c>
      <c r="E29">
        <f t="shared" si="2"/>
        <v>19.260000000000002</v>
      </c>
      <c r="F29">
        <f t="shared" si="2"/>
        <v>92.55</v>
      </c>
      <c r="G29">
        <f>B52</f>
        <v>15.1</v>
      </c>
    </row>
    <row r="30" spans="1:10">
      <c r="A30">
        <f>A6</f>
        <v>128</v>
      </c>
      <c r="B30">
        <f t="shared" si="2"/>
        <v>99.9</v>
      </c>
      <c r="C30">
        <f t="shared" si="2"/>
        <v>53.83</v>
      </c>
      <c r="D30">
        <f t="shared" si="2"/>
        <v>11.28</v>
      </c>
      <c r="E30">
        <f t="shared" si="2"/>
        <v>13.83</v>
      </c>
      <c r="F30">
        <f t="shared" si="2"/>
        <v>92.1</v>
      </c>
      <c r="G30">
        <f>B53</f>
        <v>11.22</v>
      </c>
    </row>
    <row r="33" spans="1:7" ht="17.350000000000001">
      <c r="A33" s="10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 ht="17.350000000000001">
      <c r="A34" s="10" t="s">
        <v>4</v>
      </c>
      <c r="B34" s="7"/>
      <c r="C34" s="7"/>
      <c r="D34" s="7"/>
      <c r="E34" s="7"/>
      <c r="F34" s="7"/>
      <c r="G34" s="7"/>
    </row>
    <row r="35" spans="1:7" ht="17.350000000000001">
      <c r="A35" s="10">
        <v>8</v>
      </c>
      <c r="B35" s="7">
        <v>81280</v>
      </c>
      <c r="C35" s="7">
        <v>98540</v>
      </c>
      <c r="D35" s="7">
        <v>93840</v>
      </c>
      <c r="E35" s="7">
        <v>94000</v>
      </c>
      <c r="F35" s="7">
        <v>94860</v>
      </c>
      <c r="G35" s="7">
        <v>97780</v>
      </c>
    </row>
    <row r="36" spans="1:7" ht="17.350000000000001">
      <c r="A36" s="10">
        <v>16</v>
      </c>
      <c r="B36" s="7">
        <v>52360</v>
      </c>
      <c r="C36" s="7">
        <v>59000</v>
      </c>
      <c r="D36" s="7">
        <v>57740</v>
      </c>
      <c r="E36" s="7">
        <v>57620</v>
      </c>
      <c r="F36" s="7">
        <v>57700</v>
      </c>
      <c r="G36" s="7">
        <v>58980</v>
      </c>
    </row>
    <row r="37" spans="1:7" ht="17.350000000000001">
      <c r="A37" s="10">
        <v>32</v>
      </c>
      <c r="B37" s="7">
        <v>40460</v>
      </c>
      <c r="C37" s="7">
        <v>44340</v>
      </c>
      <c r="D37" s="7">
        <v>43480</v>
      </c>
      <c r="E37" s="7">
        <v>43380</v>
      </c>
      <c r="F37" s="7">
        <v>43480</v>
      </c>
      <c r="G37" s="7">
        <v>44300</v>
      </c>
    </row>
    <row r="38" spans="1:7" ht="17.350000000000001">
      <c r="A38" s="10">
        <v>64</v>
      </c>
      <c r="B38" s="7">
        <v>27960</v>
      </c>
      <c r="C38" s="7">
        <v>29780</v>
      </c>
      <c r="D38" s="7">
        <v>29420</v>
      </c>
      <c r="E38" s="7">
        <v>29400</v>
      </c>
      <c r="F38" s="7">
        <v>29420</v>
      </c>
      <c r="G38" s="7">
        <v>29760</v>
      </c>
    </row>
    <row r="39" spans="1:7" ht="17.350000000000001">
      <c r="A39" s="10">
        <v>128</v>
      </c>
      <c r="B39" s="7">
        <v>16080</v>
      </c>
      <c r="C39" s="7">
        <v>16640</v>
      </c>
      <c r="D39" s="7">
        <v>16500</v>
      </c>
      <c r="E39" s="7">
        <v>16060</v>
      </c>
      <c r="F39" s="7">
        <v>16540</v>
      </c>
      <c r="G39" s="7">
        <v>16620</v>
      </c>
    </row>
    <row r="40" spans="1:7" ht="17.350000000000001">
      <c r="A40" s="10" t="s">
        <v>5</v>
      </c>
      <c r="B40" s="7"/>
      <c r="C40" s="7"/>
      <c r="D40" s="7"/>
      <c r="E40" s="7"/>
      <c r="F40" s="7"/>
      <c r="G40" s="7"/>
    </row>
    <row r="41" spans="1:7" ht="17.350000000000001">
      <c r="A41" s="10">
        <v>8</v>
      </c>
      <c r="B41" s="7">
        <v>146.97</v>
      </c>
      <c r="C41" s="7">
        <v>813.88</v>
      </c>
      <c r="D41" s="7">
        <v>496.39</v>
      </c>
      <c r="E41" s="7">
        <v>228.04</v>
      </c>
      <c r="F41" s="7">
        <v>909.07</v>
      </c>
      <c r="G41" s="7">
        <v>278.57</v>
      </c>
    </row>
    <row r="42" spans="1:7" ht="17.350000000000001">
      <c r="A42" s="10">
        <v>16</v>
      </c>
      <c r="B42" s="7">
        <v>195.96</v>
      </c>
      <c r="C42" s="7">
        <v>178.89</v>
      </c>
      <c r="D42" s="7">
        <v>149.66999999999999</v>
      </c>
      <c r="E42" s="7">
        <v>213.54</v>
      </c>
      <c r="F42" s="7">
        <v>167.33</v>
      </c>
      <c r="G42" s="7">
        <v>40</v>
      </c>
    </row>
    <row r="43" spans="1:7" ht="17.350000000000001">
      <c r="A43" s="10">
        <v>32</v>
      </c>
      <c r="B43" s="7">
        <v>149.66999999999999</v>
      </c>
      <c r="C43" s="7">
        <v>80</v>
      </c>
      <c r="D43" s="7">
        <v>146.97</v>
      </c>
      <c r="E43" s="7">
        <v>74.83</v>
      </c>
      <c r="F43" s="7">
        <v>116.62</v>
      </c>
      <c r="G43" s="7">
        <v>109.54</v>
      </c>
    </row>
    <row r="44" spans="1:7" ht="17.350000000000001">
      <c r="A44" s="10">
        <v>64</v>
      </c>
      <c r="B44" s="7">
        <v>48.99</v>
      </c>
      <c r="C44" s="7">
        <v>40</v>
      </c>
      <c r="D44" s="7">
        <v>74.83</v>
      </c>
      <c r="E44" s="7">
        <v>89.44</v>
      </c>
      <c r="F44" s="7">
        <v>97.98</v>
      </c>
      <c r="G44" s="7">
        <v>80</v>
      </c>
    </row>
    <row r="45" spans="1:7" ht="17.350000000000001">
      <c r="A45" s="10">
        <v>128</v>
      </c>
      <c r="B45" s="7">
        <v>40</v>
      </c>
      <c r="C45" s="7">
        <v>48.99</v>
      </c>
      <c r="D45" s="7">
        <v>0</v>
      </c>
      <c r="E45" s="7">
        <v>48.99</v>
      </c>
      <c r="F45" s="7">
        <v>80</v>
      </c>
      <c r="G45" s="7">
        <v>40</v>
      </c>
    </row>
    <row r="46" spans="1:7">
      <c r="A46" s="7"/>
      <c r="B46" s="7"/>
      <c r="C46" s="7"/>
      <c r="D46" s="7"/>
      <c r="E46" s="7"/>
      <c r="F46" s="7"/>
      <c r="G46" s="7"/>
    </row>
    <row r="47" spans="1:7" ht="17.350000000000001">
      <c r="A47" s="10" t="s">
        <v>6</v>
      </c>
      <c r="B47" s="7" t="s">
        <v>7</v>
      </c>
      <c r="C47" s="7" t="s">
        <v>8</v>
      </c>
      <c r="D47" s="7">
        <v>1</v>
      </c>
      <c r="E47" s="7"/>
      <c r="F47" s="7"/>
      <c r="G47" s="7"/>
    </row>
    <row r="48" spans="1:7" ht="17.350000000000001">
      <c r="A48" s="10" t="s">
        <v>4</v>
      </c>
      <c r="B48" s="7"/>
      <c r="C48" s="7"/>
      <c r="D48" s="7"/>
      <c r="E48" s="7"/>
      <c r="F48" s="7"/>
      <c r="G48" s="7"/>
    </row>
    <row r="49" spans="1:11" ht="17.350000000000001">
      <c r="A49" s="10">
        <v>8</v>
      </c>
      <c r="B49" s="7">
        <v>30.99</v>
      </c>
      <c r="C49" s="7">
        <v>99.91</v>
      </c>
      <c r="D49" s="7">
        <v>59.08</v>
      </c>
      <c r="E49" s="7">
        <v>60.25</v>
      </c>
      <c r="F49" s="7">
        <v>44.81</v>
      </c>
      <c r="G49" s="7">
        <v>94.84</v>
      </c>
      <c r="K49" s="2"/>
    </row>
    <row r="50" spans="1:11" ht="17.350000000000001">
      <c r="A50" s="10">
        <v>16</v>
      </c>
      <c r="B50" s="7">
        <v>21.42</v>
      </c>
      <c r="C50" s="7">
        <v>99.91</v>
      </c>
      <c r="D50" s="7">
        <v>56.13</v>
      </c>
      <c r="E50" s="7">
        <v>38.22</v>
      </c>
      <c r="F50" s="7">
        <v>29.57</v>
      </c>
      <c r="G50" s="7">
        <v>93.43</v>
      </c>
      <c r="K50" s="2"/>
    </row>
    <row r="51" spans="1:11" ht="17.350000000000001">
      <c r="A51" s="10">
        <v>32</v>
      </c>
      <c r="B51" s="7">
        <v>18.3</v>
      </c>
      <c r="C51" s="7">
        <v>99.91</v>
      </c>
      <c r="D51" s="7">
        <v>55.49</v>
      </c>
      <c r="E51" s="7">
        <v>30.69</v>
      </c>
      <c r="F51" s="7">
        <v>24.4</v>
      </c>
      <c r="G51" s="7">
        <v>92.98</v>
      </c>
      <c r="K51" s="2"/>
    </row>
    <row r="52" spans="1:11" ht="17.350000000000001">
      <c r="A52" s="10">
        <v>64</v>
      </c>
      <c r="B52" s="7">
        <v>15.1</v>
      </c>
      <c r="C52" s="7">
        <v>99.91</v>
      </c>
      <c r="D52" s="7">
        <v>54.79</v>
      </c>
      <c r="E52" s="7">
        <v>22.96</v>
      </c>
      <c r="F52" s="7">
        <v>19.260000000000002</v>
      </c>
      <c r="G52" s="7">
        <v>92.55</v>
      </c>
      <c r="K52" s="2"/>
    </row>
    <row r="53" spans="1:11" ht="17.350000000000001">
      <c r="A53" s="10">
        <v>128</v>
      </c>
      <c r="B53" s="7">
        <v>11.22</v>
      </c>
      <c r="C53" s="7">
        <v>99.9</v>
      </c>
      <c r="D53" s="7">
        <v>53.83</v>
      </c>
      <c r="E53" s="7">
        <v>11.28</v>
      </c>
      <c r="F53" s="7">
        <v>13.83</v>
      </c>
      <c r="G53" s="7">
        <v>92.1</v>
      </c>
      <c r="K53" s="2"/>
    </row>
    <row r="54" spans="1:11" ht="17.350000000000001">
      <c r="A54" s="10" t="s">
        <v>5</v>
      </c>
      <c r="B54" s="7"/>
      <c r="C54" s="7"/>
      <c r="D54" s="7"/>
      <c r="E54" s="7"/>
      <c r="F54" s="7"/>
      <c r="G54" s="7"/>
      <c r="K54" s="2"/>
    </row>
    <row r="55" spans="1:11" ht="17.350000000000001">
      <c r="A55" s="10">
        <v>8</v>
      </c>
      <c r="B55" s="7">
        <v>0.11</v>
      </c>
      <c r="C55" s="7">
        <v>0</v>
      </c>
      <c r="D55" s="7">
        <v>0.14000000000000001</v>
      </c>
      <c r="E55" s="7">
        <v>0.1</v>
      </c>
      <c r="F55" s="7">
        <v>0.47</v>
      </c>
      <c r="G55" s="7">
        <v>0.02</v>
      </c>
    </row>
    <row r="56" spans="1:11" ht="17.350000000000001">
      <c r="A56" s="10">
        <v>16</v>
      </c>
      <c r="B56" s="7">
        <v>0.17</v>
      </c>
      <c r="C56" s="7">
        <v>0</v>
      </c>
      <c r="D56" s="7">
        <v>0.06</v>
      </c>
      <c r="E56" s="7">
        <v>0.2</v>
      </c>
      <c r="F56" s="7">
        <v>0.27</v>
      </c>
      <c r="G56" s="7">
        <v>0.01</v>
      </c>
      <c r="K56" s="2"/>
    </row>
    <row r="57" spans="1:11" ht="17.350000000000001">
      <c r="A57" s="10">
        <v>32</v>
      </c>
      <c r="B57" s="7">
        <v>0.16</v>
      </c>
      <c r="C57" s="7">
        <v>0</v>
      </c>
      <c r="D57" s="7">
        <v>0.11</v>
      </c>
      <c r="E57" s="7">
        <v>0.11</v>
      </c>
      <c r="F57" s="7">
        <v>0.19</v>
      </c>
      <c r="G57" s="7">
        <v>0.02</v>
      </c>
      <c r="K57" s="2"/>
    </row>
    <row r="58" spans="1:11" ht="17.350000000000001">
      <c r="A58" s="10">
        <v>64</v>
      </c>
      <c r="B58" s="7">
        <v>0.09</v>
      </c>
      <c r="C58" s="7">
        <v>0</v>
      </c>
      <c r="D58" s="7">
        <v>0.1</v>
      </c>
      <c r="E58" s="7">
        <v>0.11</v>
      </c>
      <c r="F58" s="7">
        <v>0.28000000000000003</v>
      </c>
      <c r="G58" s="7">
        <v>0.01</v>
      </c>
      <c r="K58" s="2"/>
    </row>
    <row r="59" spans="1:11" ht="17.350000000000001">
      <c r="A59" s="10">
        <v>128</v>
      </c>
      <c r="B59" s="7">
        <v>0.12</v>
      </c>
      <c r="C59" s="7">
        <v>0</v>
      </c>
      <c r="D59" s="7">
        <v>0.04</v>
      </c>
      <c r="E59" s="7">
        <v>0.11</v>
      </c>
      <c r="F59" s="7">
        <v>0.31</v>
      </c>
      <c r="G59" s="7">
        <v>0</v>
      </c>
      <c r="K59" s="2"/>
    </row>
    <row r="60" spans="1:11">
      <c r="K60" s="2"/>
    </row>
    <row r="61" spans="1:11">
      <c r="K61" s="2"/>
    </row>
    <row r="62" spans="1:11">
      <c r="K62" s="2"/>
    </row>
    <row r="65" spans="11:11">
      <c r="K65" s="2"/>
    </row>
    <row r="66" spans="11:11">
      <c r="K66" s="2"/>
    </row>
    <row r="67" spans="11:11">
      <c r="K67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5" spans="11:11">
      <c r="K75" s="2"/>
    </row>
    <row r="76" spans="11:11">
      <c r="K76" s="2"/>
    </row>
    <row r="77" spans="11:11">
      <c r="K77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A83" s="2"/>
    </row>
    <row r="85" spans="1:11">
      <c r="K85" s="2"/>
    </row>
    <row r="86" spans="1:11">
      <c r="K86" s="2"/>
    </row>
    <row r="87" spans="1:11">
      <c r="K87" s="2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5" spans="1:11">
      <c r="K95" s="2"/>
    </row>
    <row r="96" spans="1:11">
      <c r="K96" s="2"/>
    </row>
    <row r="97" spans="11:11">
      <c r="K97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5" spans="11:11">
      <c r="K105" s="2"/>
    </row>
    <row r="106" spans="11:11">
      <c r="K106" s="2"/>
    </row>
    <row r="107" spans="11:11">
      <c r="K107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5" spans="11:11">
      <c r="K115" s="2"/>
    </row>
    <row r="116" spans="11:11">
      <c r="K116" s="2"/>
    </row>
    <row r="117" spans="11:11">
      <c r="K117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5" spans="11:11">
      <c r="K125" s="2"/>
    </row>
    <row r="126" spans="11:11">
      <c r="K126" s="2"/>
    </row>
    <row r="127" spans="11:11">
      <c r="K127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5" spans="11:11">
      <c r="K135" s="2"/>
    </row>
    <row r="136" spans="11:11">
      <c r="K136" s="2"/>
    </row>
    <row r="137" spans="11:11">
      <c r="K137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892C-9438-0643-911E-69F4CA48E722}">
  <dimension ref="A1:N144"/>
  <sheetViews>
    <sheetView topLeftCell="A21" zoomScaleNormal="100" workbookViewId="0">
      <selection activeCell="I47" sqref="I47"/>
    </sheetView>
  </sheetViews>
  <sheetFormatPr defaultColWidth="10.6640625" defaultRowHeight="15.7"/>
  <sheetData>
    <row r="1" spans="1:10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2">
        <v>8</v>
      </c>
      <c r="B2">
        <f>C35</f>
        <v>44620</v>
      </c>
      <c r="C2">
        <f>D35</f>
        <v>44260</v>
      </c>
      <c r="D2">
        <f>E35</f>
        <v>44340</v>
      </c>
      <c r="E2">
        <f>F35</f>
        <v>44200</v>
      </c>
      <c r="F2">
        <f>G35</f>
        <v>44620</v>
      </c>
      <c r="G2">
        <f>B35</f>
        <v>41420</v>
      </c>
      <c r="J2" t="s">
        <v>12</v>
      </c>
    </row>
    <row r="3" spans="1:10">
      <c r="A3" s="2">
        <v>16</v>
      </c>
      <c r="B3">
        <f t="shared" ref="B3:F6" si="0">C36</f>
        <v>40360</v>
      </c>
      <c r="C3">
        <f t="shared" si="0"/>
        <v>40000</v>
      </c>
      <c r="D3">
        <f t="shared" si="0"/>
        <v>40000</v>
      </c>
      <c r="E3">
        <f t="shared" si="0"/>
        <v>39920</v>
      </c>
      <c r="F3">
        <f t="shared" si="0"/>
        <v>40340</v>
      </c>
      <c r="G3">
        <f>B36</f>
        <v>37780</v>
      </c>
    </row>
    <row r="4" spans="1:10">
      <c r="A4" s="2">
        <v>32</v>
      </c>
      <c r="B4">
        <f t="shared" si="0"/>
        <v>31140</v>
      </c>
      <c r="C4">
        <f t="shared" si="0"/>
        <v>30800</v>
      </c>
      <c r="D4">
        <f t="shared" si="0"/>
        <v>30800</v>
      </c>
      <c r="E4">
        <f t="shared" si="0"/>
        <v>30740</v>
      </c>
      <c r="F4">
        <f t="shared" si="0"/>
        <v>31120</v>
      </c>
      <c r="G4">
        <f>B37</f>
        <v>29300</v>
      </c>
    </row>
    <row r="5" spans="1:10">
      <c r="A5" s="2">
        <v>64</v>
      </c>
      <c r="B5">
        <f t="shared" si="0"/>
        <v>21500</v>
      </c>
      <c r="C5">
        <f t="shared" si="0"/>
        <v>21320</v>
      </c>
      <c r="D5">
        <f t="shared" si="0"/>
        <v>21320</v>
      </c>
      <c r="E5">
        <f t="shared" si="0"/>
        <v>21280</v>
      </c>
      <c r="F5">
        <f t="shared" si="0"/>
        <v>21500</v>
      </c>
      <c r="G5">
        <f>B38</f>
        <v>20600</v>
      </c>
    </row>
    <row r="6" spans="1:10">
      <c r="A6" s="2">
        <v>128</v>
      </c>
      <c r="B6">
        <f t="shared" si="0"/>
        <v>13700</v>
      </c>
      <c r="C6">
        <f t="shared" si="0"/>
        <v>13700</v>
      </c>
      <c r="D6">
        <f t="shared" si="0"/>
        <v>13500</v>
      </c>
      <c r="E6">
        <f t="shared" si="0"/>
        <v>13700</v>
      </c>
      <c r="F6">
        <f t="shared" si="0"/>
        <v>13720</v>
      </c>
      <c r="G6">
        <f>B39</f>
        <v>13500</v>
      </c>
    </row>
    <row r="7" spans="1:10">
      <c r="A7" s="2"/>
    </row>
    <row r="13" spans="1:10">
      <c r="A13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2">
        <f>A2</f>
        <v>8</v>
      </c>
      <c r="B14" s="1">
        <f t="shared" ref="B14:G18" si="1">B2/$G2*100</f>
        <v>107.72573635924674</v>
      </c>
      <c r="C14" s="1">
        <f t="shared" si="1"/>
        <v>106.85659101883149</v>
      </c>
      <c r="D14" s="1">
        <f t="shared" si="1"/>
        <v>107.04973442781265</v>
      </c>
      <c r="E14" s="1">
        <f t="shared" si="1"/>
        <v>106.71173346209561</v>
      </c>
      <c r="F14" s="1">
        <f t="shared" si="1"/>
        <v>107.72573635924674</v>
      </c>
      <c r="G14" s="1">
        <f t="shared" si="1"/>
        <v>100</v>
      </c>
      <c r="H14" s="1"/>
      <c r="I14" s="1"/>
    </row>
    <row r="15" spans="1:10">
      <c r="A15" s="2">
        <f>A3</f>
        <v>16</v>
      </c>
      <c r="B15" s="1">
        <f t="shared" si="1"/>
        <v>106.82901005823186</v>
      </c>
      <c r="C15" s="1">
        <f t="shared" si="1"/>
        <v>105.87612493382743</v>
      </c>
      <c r="D15" s="1">
        <f t="shared" si="1"/>
        <v>105.87612493382743</v>
      </c>
      <c r="E15" s="1">
        <f t="shared" si="1"/>
        <v>105.66437268395975</v>
      </c>
      <c r="F15" s="1">
        <f t="shared" si="1"/>
        <v>106.77607199576495</v>
      </c>
      <c r="G15" s="1">
        <f t="shared" si="1"/>
        <v>100</v>
      </c>
      <c r="H15" s="1"/>
      <c r="I15" s="1"/>
      <c r="J15" t="s">
        <v>10</v>
      </c>
    </row>
    <row r="16" spans="1:10">
      <c r="A16" s="2">
        <f>A4</f>
        <v>32</v>
      </c>
      <c r="B16" s="1">
        <f t="shared" si="1"/>
        <v>106.27986348122866</v>
      </c>
      <c r="C16" s="1">
        <f t="shared" si="1"/>
        <v>105.11945392491468</v>
      </c>
      <c r="D16" s="1">
        <f t="shared" si="1"/>
        <v>105.11945392491468</v>
      </c>
      <c r="E16" s="1">
        <f t="shared" si="1"/>
        <v>104.91467576791808</v>
      </c>
      <c r="F16" s="1">
        <f t="shared" si="1"/>
        <v>106.21160409556313</v>
      </c>
      <c r="G16" s="1">
        <f t="shared" si="1"/>
        <v>100</v>
      </c>
      <c r="H16" s="1"/>
      <c r="I16" s="1"/>
    </row>
    <row r="17" spans="1:14">
      <c r="A17" s="2">
        <f>A5</f>
        <v>64</v>
      </c>
      <c r="B17" s="1">
        <f t="shared" si="1"/>
        <v>104.36893203883496</v>
      </c>
      <c r="C17" s="1">
        <f t="shared" si="1"/>
        <v>103.49514563106797</v>
      </c>
      <c r="D17" s="1">
        <f t="shared" si="1"/>
        <v>103.49514563106797</v>
      </c>
      <c r="E17" s="1">
        <f t="shared" si="1"/>
        <v>103.3009708737864</v>
      </c>
      <c r="F17" s="1">
        <f t="shared" si="1"/>
        <v>104.36893203883496</v>
      </c>
      <c r="G17" s="1">
        <f t="shared" si="1"/>
        <v>100</v>
      </c>
      <c r="H17" s="1"/>
      <c r="I17" s="1"/>
    </row>
    <row r="18" spans="1:14">
      <c r="A18" s="2">
        <f>A6</f>
        <v>128</v>
      </c>
      <c r="B18" s="1">
        <f t="shared" si="1"/>
        <v>101.48148148148148</v>
      </c>
      <c r="C18" s="1">
        <f t="shared" si="1"/>
        <v>101.48148148148148</v>
      </c>
      <c r="D18" s="1">
        <f t="shared" si="1"/>
        <v>100</v>
      </c>
      <c r="E18" s="1">
        <f t="shared" si="1"/>
        <v>101.48148148148148</v>
      </c>
      <c r="F18" s="1">
        <f t="shared" si="1"/>
        <v>101.62962962962962</v>
      </c>
      <c r="G18" s="1">
        <f t="shared" si="1"/>
        <v>100</v>
      </c>
      <c r="H18" s="1"/>
      <c r="I18" s="1"/>
    </row>
    <row r="19" spans="1:14">
      <c r="A19" s="2"/>
      <c r="B19" s="1"/>
      <c r="C19" s="1"/>
      <c r="D19" s="1"/>
      <c r="E19" s="1"/>
      <c r="F19" s="1"/>
      <c r="G19" s="1"/>
      <c r="H19" s="1"/>
      <c r="I19" s="1"/>
    </row>
    <row r="20" spans="1:14">
      <c r="B20" s="1"/>
      <c r="C20" s="1"/>
      <c r="D20" s="1"/>
      <c r="E20" s="1"/>
      <c r="F20" s="1"/>
      <c r="G20" s="1"/>
      <c r="H20" s="1"/>
      <c r="I20" s="1"/>
    </row>
    <row r="21" spans="1:14">
      <c r="B21" s="1"/>
      <c r="C21" s="1"/>
      <c r="D21" s="1"/>
      <c r="E21" s="1"/>
      <c r="F21" s="1"/>
      <c r="G21" s="1"/>
      <c r="H21" s="1"/>
      <c r="I21" s="1"/>
    </row>
    <row r="22" spans="1:14">
      <c r="B22" s="1"/>
      <c r="C22" s="1"/>
      <c r="D22" s="1"/>
      <c r="E22" s="1"/>
      <c r="F22" s="1"/>
      <c r="G22" s="1"/>
      <c r="H22" s="1"/>
      <c r="I22" s="1"/>
    </row>
    <row r="23" spans="1:14">
      <c r="B23" s="1"/>
      <c r="C23" s="1"/>
      <c r="D23" s="1"/>
      <c r="E23" s="1"/>
      <c r="F23" s="1"/>
      <c r="G23" s="1"/>
      <c r="H23" s="1"/>
      <c r="I23" s="1"/>
    </row>
    <row r="25" spans="1:14">
      <c r="A25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4">
      <c r="A26">
        <f>A2</f>
        <v>8</v>
      </c>
      <c r="B26">
        <f>C49</f>
        <v>99.94</v>
      </c>
      <c r="C26">
        <f>D49</f>
        <v>54.3</v>
      </c>
      <c r="D26">
        <f>E49</f>
        <v>36.68</v>
      </c>
      <c r="E26">
        <f>F49</f>
        <v>25.79</v>
      </c>
      <c r="F26">
        <f>G49</f>
        <v>93.18</v>
      </c>
      <c r="G26">
        <f>B49</f>
        <v>15.95</v>
      </c>
    </row>
    <row r="27" spans="1:14">
      <c r="A27">
        <f>A3</f>
        <v>16</v>
      </c>
      <c r="B27">
        <f t="shared" ref="B27:F30" si="2">C50</f>
        <v>99.93</v>
      </c>
      <c r="C27">
        <f t="shared" si="2"/>
        <v>54.22</v>
      </c>
      <c r="D27">
        <f t="shared" si="2"/>
        <v>33.47</v>
      </c>
      <c r="E27">
        <f t="shared" si="2"/>
        <v>23.68</v>
      </c>
      <c r="F27">
        <f t="shared" si="2"/>
        <v>93</v>
      </c>
      <c r="G27">
        <f>B50</f>
        <v>15.37</v>
      </c>
    </row>
    <row r="28" spans="1:14">
      <c r="A28">
        <f>A4</f>
        <v>32</v>
      </c>
      <c r="B28">
        <f t="shared" si="2"/>
        <v>99.93</v>
      </c>
      <c r="C28">
        <f t="shared" si="2"/>
        <v>53.91</v>
      </c>
      <c r="D28">
        <f t="shared" si="2"/>
        <v>29.05</v>
      </c>
      <c r="E28">
        <f t="shared" si="2"/>
        <v>20.260000000000002</v>
      </c>
      <c r="F28">
        <f t="shared" si="2"/>
        <v>92.66</v>
      </c>
      <c r="G28">
        <f>B51</f>
        <v>13.28</v>
      </c>
      <c r="J28" t="s">
        <v>9</v>
      </c>
      <c r="L28">
        <v>27</v>
      </c>
      <c r="M28">
        <v>14</v>
      </c>
      <c r="N28" t="s">
        <v>15</v>
      </c>
    </row>
    <row r="29" spans="1:14">
      <c r="A29">
        <f>A5</f>
        <v>64</v>
      </c>
      <c r="B29">
        <f t="shared" si="2"/>
        <v>99.93</v>
      </c>
      <c r="C29">
        <f t="shared" si="2"/>
        <v>53.47</v>
      </c>
      <c r="D29">
        <f t="shared" si="2"/>
        <v>24.25</v>
      </c>
      <c r="E29">
        <f t="shared" si="2"/>
        <v>16.52</v>
      </c>
      <c r="F29">
        <f t="shared" si="2"/>
        <v>92.31</v>
      </c>
      <c r="G29">
        <f>B52</f>
        <v>11.08</v>
      </c>
    </row>
    <row r="30" spans="1:14">
      <c r="A30">
        <f>A6</f>
        <v>128</v>
      </c>
      <c r="B30">
        <f t="shared" si="2"/>
        <v>99.93</v>
      </c>
      <c r="C30">
        <f t="shared" si="2"/>
        <v>53.17</v>
      </c>
      <c r="D30">
        <f t="shared" si="2"/>
        <v>9.49</v>
      </c>
      <c r="E30">
        <f t="shared" si="2"/>
        <v>14.16</v>
      </c>
      <c r="F30">
        <f t="shared" si="2"/>
        <v>92.14</v>
      </c>
      <c r="G30">
        <f>B53</f>
        <v>9.44</v>
      </c>
    </row>
    <row r="33" spans="1:7" ht="17.350000000000001">
      <c r="A33" s="10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 ht="17.350000000000001">
      <c r="A34" s="10" t="s">
        <v>4</v>
      </c>
      <c r="B34" s="7"/>
      <c r="C34" s="7"/>
      <c r="D34" s="7"/>
      <c r="E34" s="7"/>
      <c r="F34" s="7"/>
      <c r="G34" s="7"/>
    </row>
    <row r="35" spans="1:7" ht="17.350000000000001">
      <c r="A35" s="10">
        <v>8</v>
      </c>
      <c r="B35" s="7">
        <v>41420</v>
      </c>
      <c r="C35" s="7">
        <v>44620</v>
      </c>
      <c r="D35" s="7">
        <v>44260</v>
      </c>
      <c r="E35" s="7">
        <v>44340</v>
      </c>
      <c r="F35" s="7">
        <v>44200</v>
      </c>
      <c r="G35" s="7">
        <v>44620</v>
      </c>
    </row>
    <row r="36" spans="1:7" ht="17.350000000000001">
      <c r="A36" s="10">
        <v>16</v>
      </c>
      <c r="B36" s="7">
        <v>37780</v>
      </c>
      <c r="C36" s="7">
        <v>40360</v>
      </c>
      <c r="D36" s="7">
        <v>40000</v>
      </c>
      <c r="E36" s="7">
        <v>40000</v>
      </c>
      <c r="F36" s="7">
        <v>39920</v>
      </c>
      <c r="G36" s="7">
        <v>40340</v>
      </c>
    </row>
    <row r="37" spans="1:7" ht="17.350000000000001">
      <c r="A37" s="10">
        <v>32</v>
      </c>
      <c r="B37" s="7">
        <v>29300</v>
      </c>
      <c r="C37" s="7">
        <v>31140</v>
      </c>
      <c r="D37" s="7">
        <v>30800</v>
      </c>
      <c r="E37" s="7">
        <v>30800</v>
      </c>
      <c r="F37" s="7">
        <v>30740</v>
      </c>
      <c r="G37" s="7">
        <v>31120</v>
      </c>
    </row>
    <row r="38" spans="1:7" ht="17.350000000000001">
      <c r="A38" s="10">
        <v>64</v>
      </c>
      <c r="B38" s="7">
        <v>20600</v>
      </c>
      <c r="C38" s="7">
        <v>21500</v>
      </c>
      <c r="D38" s="7">
        <v>21320</v>
      </c>
      <c r="E38" s="7">
        <v>21320</v>
      </c>
      <c r="F38" s="7">
        <v>21280</v>
      </c>
      <c r="G38" s="7">
        <v>21500</v>
      </c>
    </row>
    <row r="39" spans="1:7" ht="17.350000000000001">
      <c r="A39" s="10">
        <v>128</v>
      </c>
      <c r="B39" s="7">
        <v>13500</v>
      </c>
      <c r="C39" s="7">
        <v>13700</v>
      </c>
      <c r="D39" s="7">
        <v>13700</v>
      </c>
      <c r="E39" s="7">
        <v>13500</v>
      </c>
      <c r="F39" s="7">
        <v>13700</v>
      </c>
      <c r="G39" s="7">
        <v>13720</v>
      </c>
    </row>
    <row r="40" spans="1:7" ht="17.350000000000001">
      <c r="A40" s="10" t="s">
        <v>5</v>
      </c>
      <c r="B40" s="7"/>
      <c r="C40" s="7"/>
      <c r="D40" s="7"/>
      <c r="E40" s="7"/>
      <c r="F40" s="7"/>
      <c r="G40" s="7"/>
    </row>
    <row r="41" spans="1:7" ht="17.350000000000001">
      <c r="A41" s="10">
        <v>8</v>
      </c>
      <c r="B41" s="7">
        <v>40</v>
      </c>
      <c r="C41" s="7">
        <v>40</v>
      </c>
      <c r="D41" s="7">
        <v>80</v>
      </c>
      <c r="E41" s="7">
        <v>48.99</v>
      </c>
      <c r="F41" s="7">
        <v>0</v>
      </c>
      <c r="G41" s="7">
        <v>40</v>
      </c>
    </row>
    <row r="42" spans="1:7" ht="17.350000000000001">
      <c r="A42" s="10">
        <v>16</v>
      </c>
      <c r="B42" s="7">
        <v>40</v>
      </c>
      <c r="C42" s="7">
        <v>48.99</v>
      </c>
      <c r="D42" s="7">
        <v>0</v>
      </c>
      <c r="E42" s="7">
        <v>0</v>
      </c>
      <c r="F42" s="7">
        <v>40</v>
      </c>
      <c r="G42" s="7">
        <v>48.99</v>
      </c>
    </row>
    <row r="43" spans="1:7" ht="17.350000000000001">
      <c r="A43" s="10">
        <v>32</v>
      </c>
      <c r="B43" s="7">
        <v>0</v>
      </c>
      <c r="C43" s="7">
        <v>48.99</v>
      </c>
      <c r="D43" s="7">
        <v>0</v>
      </c>
      <c r="E43" s="7">
        <v>0</v>
      </c>
      <c r="F43" s="7">
        <v>48.99</v>
      </c>
      <c r="G43" s="7">
        <v>40</v>
      </c>
    </row>
    <row r="44" spans="1:7" ht="17.350000000000001">
      <c r="A44" s="10">
        <v>64</v>
      </c>
      <c r="B44" s="7">
        <v>0</v>
      </c>
      <c r="C44" s="7">
        <v>0</v>
      </c>
      <c r="D44" s="7">
        <v>40</v>
      </c>
      <c r="E44" s="7">
        <v>40</v>
      </c>
      <c r="F44" s="7">
        <v>40</v>
      </c>
      <c r="G44" s="7">
        <v>0</v>
      </c>
    </row>
    <row r="45" spans="1:7" ht="17.350000000000001">
      <c r="A45" s="10">
        <v>128</v>
      </c>
      <c r="B45" s="7">
        <v>0</v>
      </c>
      <c r="C45" s="7">
        <v>0</v>
      </c>
      <c r="D45" s="7">
        <v>0</v>
      </c>
      <c r="E45" s="7">
        <v>0</v>
      </c>
      <c r="F45" s="7">
        <v>0</v>
      </c>
      <c r="G45" s="7">
        <v>40</v>
      </c>
    </row>
    <row r="46" spans="1:7">
      <c r="A46" s="7"/>
      <c r="B46" s="7"/>
      <c r="C46" s="7"/>
      <c r="D46" s="7"/>
      <c r="E46" s="7"/>
      <c r="F46" s="7"/>
      <c r="G46" s="7"/>
    </row>
    <row r="47" spans="1:7" ht="17.350000000000001">
      <c r="A47" s="10" t="s">
        <v>6</v>
      </c>
      <c r="B47" s="7" t="s">
        <v>7</v>
      </c>
      <c r="C47" s="7" t="s">
        <v>8</v>
      </c>
      <c r="D47" s="7">
        <v>1</v>
      </c>
      <c r="E47" s="7"/>
      <c r="F47" s="7"/>
      <c r="G47" s="7"/>
    </row>
    <row r="48" spans="1:7" ht="17.350000000000001">
      <c r="A48" s="10" t="s">
        <v>4</v>
      </c>
      <c r="B48" s="7"/>
      <c r="C48" s="7"/>
      <c r="D48" s="7"/>
      <c r="E48" s="7"/>
      <c r="F48" s="7"/>
      <c r="G48" s="7"/>
    </row>
    <row r="49" spans="1:11" ht="17.350000000000001">
      <c r="A49" s="10">
        <v>8</v>
      </c>
      <c r="B49" s="7">
        <v>15.95</v>
      </c>
      <c r="C49" s="7">
        <v>99.94</v>
      </c>
      <c r="D49" s="7">
        <v>54.3</v>
      </c>
      <c r="E49" s="7">
        <v>36.68</v>
      </c>
      <c r="F49" s="7">
        <v>25.79</v>
      </c>
      <c r="G49" s="7">
        <v>93.18</v>
      </c>
      <c r="K49" s="2"/>
    </row>
    <row r="50" spans="1:11" ht="17.350000000000001">
      <c r="A50" s="10">
        <v>16</v>
      </c>
      <c r="B50" s="7">
        <v>15.37</v>
      </c>
      <c r="C50" s="7">
        <v>99.93</v>
      </c>
      <c r="D50" s="7">
        <v>54.22</v>
      </c>
      <c r="E50" s="7">
        <v>33.47</v>
      </c>
      <c r="F50" s="7">
        <v>23.68</v>
      </c>
      <c r="G50" s="7">
        <v>93</v>
      </c>
      <c r="K50" s="2"/>
    </row>
    <row r="51" spans="1:11" ht="17.350000000000001">
      <c r="A51" s="10">
        <v>32</v>
      </c>
      <c r="B51" s="7">
        <v>13.28</v>
      </c>
      <c r="C51" s="7">
        <v>99.93</v>
      </c>
      <c r="D51" s="7">
        <v>53.91</v>
      </c>
      <c r="E51" s="7">
        <v>29.05</v>
      </c>
      <c r="F51" s="7">
        <v>20.260000000000002</v>
      </c>
      <c r="G51" s="7">
        <v>92.66</v>
      </c>
      <c r="K51" s="2"/>
    </row>
    <row r="52" spans="1:11" ht="17.350000000000001">
      <c r="A52" s="10">
        <v>64</v>
      </c>
      <c r="B52" s="7">
        <v>11.08</v>
      </c>
      <c r="C52" s="7">
        <v>99.93</v>
      </c>
      <c r="D52" s="7">
        <v>53.47</v>
      </c>
      <c r="E52" s="7">
        <v>24.25</v>
      </c>
      <c r="F52" s="7">
        <v>16.52</v>
      </c>
      <c r="G52" s="7">
        <v>92.31</v>
      </c>
      <c r="K52" s="2"/>
    </row>
    <row r="53" spans="1:11" ht="17.350000000000001">
      <c r="A53" s="10">
        <v>128</v>
      </c>
      <c r="B53" s="7">
        <v>9.44</v>
      </c>
      <c r="C53" s="7">
        <v>99.93</v>
      </c>
      <c r="D53" s="7">
        <v>53.17</v>
      </c>
      <c r="E53" s="7">
        <v>9.49</v>
      </c>
      <c r="F53" s="7">
        <v>14.16</v>
      </c>
      <c r="G53" s="7">
        <v>92.14</v>
      </c>
      <c r="K53" s="2"/>
    </row>
    <row r="54" spans="1:11" ht="17.350000000000001">
      <c r="A54" s="10" t="s">
        <v>5</v>
      </c>
      <c r="B54" s="7"/>
      <c r="C54" s="7"/>
      <c r="D54" s="7"/>
      <c r="E54" s="7"/>
      <c r="F54" s="7"/>
      <c r="G54" s="7"/>
      <c r="K54" s="2"/>
    </row>
    <row r="55" spans="1:11" ht="17.350000000000001">
      <c r="A55" s="10">
        <v>8</v>
      </c>
      <c r="B55" s="7">
        <v>0.08</v>
      </c>
      <c r="C55" s="7">
        <v>0</v>
      </c>
      <c r="D55" s="7">
        <v>0.04</v>
      </c>
      <c r="E55" s="7">
        <v>0.04</v>
      </c>
      <c r="F55" s="7">
        <v>0.12</v>
      </c>
      <c r="G55" s="7">
        <v>0.03</v>
      </c>
    </row>
    <row r="56" spans="1:11" ht="17.350000000000001">
      <c r="A56" s="10">
        <v>16</v>
      </c>
      <c r="B56" s="7">
        <v>0.06</v>
      </c>
      <c r="C56" s="7">
        <v>0</v>
      </c>
      <c r="D56" s="7">
        <v>0.04</v>
      </c>
      <c r="E56" s="7">
        <v>0.05</v>
      </c>
      <c r="F56" s="7">
        <v>0.05</v>
      </c>
      <c r="G56" s="7">
        <v>0.01</v>
      </c>
      <c r="K56" s="2"/>
    </row>
    <row r="57" spans="1:11" ht="17.350000000000001">
      <c r="A57" s="10">
        <v>32</v>
      </c>
      <c r="B57" s="7">
        <v>0.04</v>
      </c>
      <c r="C57" s="7">
        <v>0</v>
      </c>
      <c r="D57" s="7">
        <v>0.04</v>
      </c>
      <c r="E57" s="7">
        <v>0.03</v>
      </c>
      <c r="F57" s="7">
        <v>0.03</v>
      </c>
      <c r="G57" s="7">
        <v>0.01</v>
      </c>
      <c r="K57" s="2"/>
    </row>
    <row r="58" spans="1:11" ht="17.350000000000001">
      <c r="A58" s="10">
        <v>64</v>
      </c>
      <c r="B58" s="7">
        <v>0.04</v>
      </c>
      <c r="C58" s="7">
        <v>0</v>
      </c>
      <c r="D58" s="7">
        <v>0.02</v>
      </c>
      <c r="E58" s="7">
        <v>0.05</v>
      </c>
      <c r="F58" s="7">
        <v>0.06</v>
      </c>
      <c r="G58" s="7">
        <v>0.02</v>
      </c>
      <c r="K58" s="2"/>
    </row>
    <row r="59" spans="1:11" ht="17.350000000000001">
      <c r="A59" s="10">
        <v>128</v>
      </c>
      <c r="B59" s="7">
        <v>0.04</v>
      </c>
      <c r="C59" s="7">
        <v>0</v>
      </c>
      <c r="D59" s="7">
        <v>0.03</v>
      </c>
      <c r="E59" s="7">
        <v>0.03</v>
      </c>
      <c r="F59" s="7">
        <v>0.12</v>
      </c>
      <c r="G59" s="7">
        <v>0.01</v>
      </c>
      <c r="K59" s="2"/>
    </row>
    <row r="60" spans="1:11">
      <c r="K60" s="2"/>
    </row>
    <row r="61" spans="1:11">
      <c r="K61" s="2"/>
    </row>
    <row r="62" spans="1:11">
      <c r="K62" s="2"/>
    </row>
    <row r="65" spans="11:11">
      <c r="K65" s="2"/>
    </row>
    <row r="66" spans="11:11">
      <c r="K66" s="2"/>
    </row>
    <row r="67" spans="11:11">
      <c r="K67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5" spans="11:11">
      <c r="K75" s="2"/>
    </row>
    <row r="76" spans="11:11">
      <c r="K76" s="2"/>
    </row>
    <row r="77" spans="11:11">
      <c r="K77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A83" s="2"/>
    </row>
    <row r="85" spans="1:11">
      <c r="K85" s="2"/>
    </row>
    <row r="86" spans="1:11">
      <c r="K86" s="2"/>
    </row>
    <row r="87" spans="1:11">
      <c r="K87" s="2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5" spans="1:11">
      <c r="K95" s="2"/>
    </row>
    <row r="96" spans="1:11">
      <c r="K96" s="2"/>
    </row>
    <row r="97" spans="11:11">
      <c r="K97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5" spans="11:11">
      <c r="K105" s="2"/>
    </row>
    <row r="106" spans="11:11">
      <c r="K106" s="2"/>
    </row>
    <row r="107" spans="11:11">
      <c r="K107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5" spans="11:11">
      <c r="K115" s="2"/>
    </row>
    <row r="116" spans="11:11">
      <c r="K116" s="2"/>
    </row>
    <row r="117" spans="11:11">
      <c r="K117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5" spans="11:11">
      <c r="K125" s="2"/>
    </row>
    <row r="126" spans="11:11">
      <c r="K126" s="2"/>
    </row>
    <row r="127" spans="11:11">
      <c r="K127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5" spans="11:11">
      <c r="K135" s="2"/>
    </row>
    <row r="136" spans="11:11">
      <c r="K136" s="2"/>
    </row>
    <row r="137" spans="11:11">
      <c r="K137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B17AC-AB5A-6342-8DE7-8D5DB71E72B4}">
  <dimension ref="A1:N144"/>
  <sheetViews>
    <sheetView zoomScaleNormal="100" workbookViewId="0">
      <selection activeCell="K66" sqref="K66"/>
    </sheetView>
  </sheetViews>
  <sheetFormatPr defaultColWidth="10.6640625" defaultRowHeight="15.7"/>
  <sheetData>
    <row r="1" spans="1:10">
      <c r="A1" t="s">
        <v>12</v>
      </c>
      <c r="B1" t="s">
        <v>0</v>
      </c>
      <c r="C1" t="s">
        <v>13</v>
      </c>
      <c r="D1" t="s">
        <v>2</v>
      </c>
      <c r="E1" t="s">
        <v>14</v>
      </c>
      <c r="F1" t="s">
        <v>3</v>
      </c>
      <c r="G1" t="s">
        <v>1</v>
      </c>
    </row>
    <row r="2" spans="1:10">
      <c r="A2" s="2">
        <v>8</v>
      </c>
      <c r="B2">
        <f>C35</f>
        <v>23200</v>
      </c>
      <c r="C2">
        <f>D35</f>
        <v>23000</v>
      </c>
      <c r="D2">
        <f>E35</f>
        <v>22700</v>
      </c>
      <c r="E2">
        <f>F35</f>
        <v>23020</v>
      </c>
      <c r="F2">
        <f>G35</f>
        <v>23240</v>
      </c>
      <c r="G2">
        <f>B35</f>
        <v>22200</v>
      </c>
      <c r="J2" t="s">
        <v>12</v>
      </c>
    </row>
    <row r="3" spans="1:10">
      <c r="A3" s="2">
        <v>16</v>
      </c>
      <c r="B3">
        <f t="shared" ref="B3:F6" si="0">C36</f>
        <v>15700</v>
      </c>
      <c r="C3">
        <f t="shared" si="0"/>
        <v>15600</v>
      </c>
      <c r="D3">
        <f t="shared" si="0"/>
        <v>15220</v>
      </c>
      <c r="E3">
        <f t="shared" si="0"/>
        <v>15560</v>
      </c>
      <c r="F3">
        <f t="shared" si="0"/>
        <v>15700</v>
      </c>
      <c r="G3">
        <f>B36</f>
        <v>15200</v>
      </c>
    </row>
    <row r="4" spans="1:10">
      <c r="A4" s="2">
        <v>32</v>
      </c>
      <c r="B4">
        <f t="shared" si="0"/>
        <v>13800</v>
      </c>
      <c r="C4">
        <f t="shared" si="0"/>
        <v>13780</v>
      </c>
      <c r="D4">
        <f t="shared" si="0"/>
        <v>13500</v>
      </c>
      <c r="E4">
        <f t="shared" si="0"/>
        <v>13720</v>
      </c>
      <c r="F4">
        <f t="shared" si="0"/>
        <v>13820</v>
      </c>
      <c r="G4">
        <f>B37</f>
        <v>13500</v>
      </c>
    </row>
    <row r="5" spans="1:10">
      <c r="A5" s="2">
        <v>64</v>
      </c>
      <c r="B5">
        <f t="shared" si="0"/>
        <v>10900</v>
      </c>
      <c r="C5">
        <f t="shared" si="0"/>
        <v>10800</v>
      </c>
      <c r="D5">
        <f t="shared" si="0"/>
        <v>10700</v>
      </c>
      <c r="E5">
        <f t="shared" si="0"/>
        <v>10800</v>
      </c>
      <c r="F5">
        <f t="shared" si="0"/>
        <v>10900</v>
      </c>
      <c r="G5">
        <f>B38</f>
        <v>10600</v>
      </c>
    </row>
    <row r="6" spans="1:10">
      <c r="A6" s="2">
        <v>128</v>
      </c>
      <c r="B6">
        <f t="shared" si="0"/>
        <v>7732.6</v>
      </c>
      <c r="C6">
        <f t="shared" si="0"/>
        <v>7707.2</v>
      </c>
      <c r="D6">
        <f>E39</f>
        <v>7615.2</v>
      </c>
      <c r="E6">
        <f t="shared" si="0"/>
        <v>7686</v>
      </c>
      <c r="F6">
        <f t="shared" si="0"/>
        <v>7532.4</v>
      </c>
      <c r="G6">
        <f>B39</f>
        <v>7608.8</v>
      </c>
    </row>
    <row r="7" spans="1:10">
      <c r="A7" s="2"/>
    </row>
    <row r="13" spans="1:10">
      <c r="A13" t="s">
        <v>10</v>
      </c>
      <c r="B13" t="s">
        <v>0</v>
      </c>
      <c r="C13" t="s">
        <v>13</v>
      </c>
      <c r="D13" t="s">
        <v>2</v>
      </c>
      <c r="E13" t="s">
        <v>14</v>
      </c>
      <c r="F13" t="s">
        <v>3</v>
      </c>
      <c r="G13" t="s">
        <v>1</v>
      </c>
    </row>
    <row r="14" spans="1:10">
      <c r="A14" s="2">
        <f>A2</f>
        <v>8</v>
      </c>
      <c r="B14" s="1">
        <f t="shared" ref="B14:G18" si="1">B2/$G2*100</f>
        <v>104.5045045045045</v>
      </c>
      <c r="C14" s="1">
        <f t="shared" si="1"/>
        <v>103.60360360360362</v>
      </c>
      <c r="D14" s="1">
        <f t="shared" si="1"/>
        <v>102.25225225225225</v>
      </c>
      <c r="E14" s="1">
        <f t="shared" si="1"/>
        <v>103.6936936936937</v>
      </c>
      <c r="F14" s="1">
        <f t="shared" si="1"/>
        <v>104.68468468468468</v>
      </c>
      <c r="G14" s="1">
        <f t="shared" si="1"/>
        <v>100</v>
      </c>
      <c r="H14" s="1"/>
      <c r="I14" s="1"/>
    </row>
    <row r="15" spans="1:10">
      <c r="A15" s="2">
        <f>A3</f>
        <v>16</v>
      </c>
      <c r="B15" s="1">
        <f t="shared" si="1"/>
        <v>103.28947368421053</v>
      </c>
      <c r="C15" s="1">
        <f t="shared" si="1"/>
        <v>102.63157894736842</v>
      </c>
      <c r="D15" s="1">
        <f t="shared" si="1"/>
        <v>100.13157894736841</v>
      </c>
      <c r="E15" s="1">
        <f t="shared" si="1"/>
        <v>102.36842105263158</v>
      </c>
      <c r="F15" s="1">
        <f t="shared" si="1"/>
        <v>103.28947368421053</v>
      </c>
      <c r="G15" s="1">
        <f t="shared" si="1"/>
        <v>100</v>
      </c>
      <c r="H15" s="1"/>
      <c r="I15" s="1"/>
      <c r="J15" t="s">
        <v>10</v>
      </c>
    </row>
    <row r="16" spans="1:10">
      <c r="A16" s="2">
        <f>A4</f>
        <v>32</v>
      </c>
      <c r="B16" s="1">
        <f t="shared" si="1"/>
        <v>102.22222222222221</v>
      </c>
      <c r="C16" s="1">
        <f t="shared" si="1"/>
        <v>102.07407407407408</v>
      </c>
      <c r="D16" s="1">
        <f t="shared" si="1"/>
        <v>100</v>
      </c>
      <c r="E16" s="1">
        <f t="shared" si="1"/>
        <v>101.62962962962962</v>
      </c>
      <c r="F16" s="1">
        <f t="shared" si="1"/>
        <v>102.37037037037038</v>
      </c>
      <c r="G16" s="1">
        <f t="shared" si="1"/>
        <v>100</v>
      </c>
      <c r="H16" s="1"/>
      <c r="I16" s="1"/>
    </row>
    <row r="17" spans="1:14">
      <c r="A17" s="2">
        <f>A5</f>
        <v>64</v>
      </c>
      <c r="B17" s="1">
        <f t="shared" si="1"/>
        <v>102.8301886792453</v>
      </c>
      <c r="C17" s="1">
        <f t="shared" si="1"/>
        <v>101.88679245283019</v>
      </c>
      <c r="D17" s="1">
        <f t="shared" si="1"/>
        <v>100.9433962264151</v>
      </c>
      <c r="E17" s="1">
        <f t="shared" si="1"/>
        <v>101.88679245283019</v>
      </c>
      <c r="F17" s="1">
        <f t="shared" si="1"/>
        <v>102.8301886792453</v>
      </c>
      <c r="G17" s="1">
        <f t="shared" si="1"/>
        <v>100</v>
      </c>
      <c r="H17" s="1"/>
      <c r="I17" s="1"/>
    </row>
    <row r="18" spans="1:14">
      <c r="A18" s="2">
        <f>A6</f>
        <v>128</v>
      </c>
      <c r="B18" s="1">
        <f t="shared" si="1"/>
        <v>101.62706340027337</v>
      </c>
      <c r="C18" s="1">
        <f t="shared" si="1"/>
        <v>101.29323940700242</v>
      </c>
      <c r="D18" s="1">
        <f>D6/$G6*100</f>
        <v>100.08411313216274</v>
      </c>
      <c r="E18" s="1">
        <f t="shared" si="1"/>
        <v>101.01461465671329</v>
      </c>
      <c r="F18" s="1">
        <f t="shared" si="1"/>
        <v>98.995899484807055</v>
      </c>
      <c r="G18" s="1">
        <f t="shared" si="1"/>
        <v>100</v>
      </c>
      <c r="H18" s="1"/>
      <c r="I18" s="1"/>
    </row>
    <row r="19" spans="1:14">
      <c r="A19" s="2"/>
      <c r="B19" s="1"/>
      <c r="C19" s="1"/>
      <c r="D19" s="1"/>
      <c r="E19" s="1"/>
      <c r="F19" s="1"/>
      <c r="G19" s="1"/>
      <c r="H19" s="1"/>
      <c r="I19" s="1"/>
    </row>
    <row r="20" spans="1:14">
      <c r="B20" s="1"/>
      <c r="C20" s="1"/>
      <c r="D20" s="1"/>
      <c r="E20" s="1"/>
      <c r="F20" s="1"/>
      <c r="G20" s="1"/>
      <c r="H20" s="1"/>
      <c r="I20" s="1"/>
    </row>
    <row r="21" spans="1:14">
      <c r="B21" s="1"/>
      <c r="C21" s="1"/>
      <c r="D21" s="1"/>
      <c r="E21" s="1"/>
      <c r="F21" s="1"/>
      <c r="G21" s="1"/>
      <c r="H21" s="1"/>
      <c r="I21" s="1"/>
    </row>
    <row r="22" spans="1:14">
      <c r="B22" s="1"/>
      <c r="C22" s="1"/>
      <c r="D22" s="1"/>
      <c r="E22" s="1"/>
      <c r="F22" s="1"/>
      <c r="G22" s="1"/>
      <c r="H22" s="1"/>
      <c r="I22" s="1"/>
    </row>
    <row r="23" spans="1:14">
      <c r="B23" s="1"/>
      <c r="C23" s="1"/>
      <c r="D23" s="1"/>
      <c r="E23" s="1"/>
      <c r="F23" s="1"/>
      <c r="G23" s="1"/>
      <c r="H23" s="1"/>
      <c r="I23" s="1"/>
    </row>
    <row r="25" spans="1:14">
      <c r="A25" t="s">
        <v>9</v>
      </c>
      <c r="B25" t="s">
        <v>0</v>
      </c>
      <c r="C25" t="s">
        <v>13</v>
      </c>
      <c r="D25" t="s">
        <v>2</v>
      </c>
      <c r="E25" t="s">
        <v>14</v>
      </c>
      <c r="F25" t="s">
        <v>3</v>
      </c>
      <c r="G25" t="s">
        <v>1</v>
      </c>
    </row>
    <row r="26" spans="1:14">
      <c r="A26">
        <f>A2</f>
        <v>8</v>
      </c>
      <c r="B26">
        <f>C49</f>
        <v>99.93</v>
      </c>
      <c r="C26">
        <f>D49</f>
        <v>52.18</v>
      </c>
      <c r="D26">
        <f>E49</f>
        <v>15.43</v>
      </c>
      <c r="E26">
        <f>F49</f>
        <v>12.24</v>
      </c>
      <c r="F26">
        <f>G49</f>
        <v>91.91</v>
      </c>
      <c r="G26">
        <f>B49</f>
        <v>8.58</v>
      </c>
    </row>
    <row r="27" spans="1:14">
      <c r="A27">
        <f>A3</f>
        <v>16</v>
      </c>
      <c r="B27">
        <f t="shared" ref="B27:F30" si="2">C50</f>
        <v>99.93</v>
      </c>
      <c r="C27">
        <f t="shared" si="2"/>
        <v>51.66</v>
      </c>
      <c r="D27">
        <f t="shared" si="2"/>
        <v>12.22</v>
      </c>
      <c r="E27">
        <f t="shared" si="2"/>
        <v>8.7799999999999994</v>
      </c>
      <c r="F27">
        <f t="shared" si="2"/>
        <v>91.59</v>
      </c>
      <c r="G27">
        <f>B50</f>
        <v>6.23</v>
      </c>
    </row>
    <row r="28" spans="1:14">
      <c r="A28">
        <f>A4</f>
        <v>32</v>
      </c>
      <c r="B28">
        <f t="shared" si="2"/>
        <v>99.93</v>
      </c>
      <c r="C28">
        <f t="shared" si="2"/>
        <v>51.72</v>
      </c>
      <c r="D28">
        <f t="shared" si="2"/>
        <v>14.94</v>
      </c>
      <c r="E28">
        <f t="shared" si="2"/>
        <v>8.8699999999999992</v>
      </c>
      <c r="F28">
        <f t="shared" si="2"/>
        <v>91.62</v>
      </c>
      <c r="G28">
        <f>B51</f>
        <v>6.12</v>
      </c>
      <c r="J28" t="s">
        <v>9</v>
      </c>
      <c r="L28">
        <v>27</v>
      </c>
      <c r="M28">
        <v>14</v>
      </c>
      <c r="N28" t="s">
        <v>15</v>
      </c>
    </row>
    <row r="29" spans="1:14">
      <c r="A29">
        <f>A5</f>
        <v>64</v>
      </c>
      <c r="B29">
        <f t="shared" si="2"/>
        <v>99.93</v>
      </c>
      <c r="C29">
        <f t="shared" si="2"/>
        <v>51.75</v>
      </c>
      <c r="D29">
        <f t="shared" si="2"/>
        <v>15.34</v>
      </c>
      <c r="E29">
        <f t="shared" si="2"/>
        <v>8.5399999999999991</v>
      </c>
      <c r="F29">
        <f t="shared" si="2"/>
        <v>91.61</v>
      </c>
      <c r="G29">
        <f>B52</f>
        <v>5.76</v>
      </c>
    </row>
    <row r="30" spans="1:14">
      <c r="A30">
        <f>A6</f>
        <v>128</v>
      </c>
      <c r="B30">
        <f t="shared" si="2"/>
        <v>99.93</v>
      </c>
      <c r="C30">
        <f t="shared" si="2"/>
        <v>51.77</v>
      </c>
      <c r="D30">
        <f t="shared" si="2"/>
        <v>5.22</v>
      </c>
      <c r="E30">
        <f t="shared" si="2"/>
        <v>8.25</v>
      </c>
      <c r="F30">
        <f t="shared" si="2"/>
        <v>89.19</v>
      </c>
      <c r="G30">
        <f>B53</f>
        <v>5.36</v>
      </c>
    </row>
    <row r="33" spans="1:7">
      <c r="A33" s="11" t="s">
        <v>6</v>
      </c>
      <c r="B33" s="7" t="s">
        <v>7</v>
      </c>
      <c r="C33" s="7" t="s">
        <v>8</v>
      </c>
      <c r="D33" s="7">
        <v>0</v>
      </c>
      <c r="E33" s="7"/>
      <c r="F33" s="7"/>
      <c r="G33" s="7"/>
    </row>
    <row r="34" spans="1:7">
      <c r="A34" s="11" t="s">
        <v>4</v>
      </c>
      <c r="B34" s="7"/>
      <c r="C34" s="7"/>
      <c r="D34" s="7"/>
      <c r="E34" s="7"/>
      <c r="F34" s="7"/>
      <c r="G34" s="7"/>
    </row>
    <row r="35" spans="1:7">
      <c r="A35" s="11">
        <v>8</v>
      </c>
      <c r="B35" s="7">
        <v>22200</v>
      </c>
      <c r="C35" s="7">
        <v>23200</v>
      </c>
      <c r="D35" s="7">
        <v>23000</v>
      </c>
      <c r="E35" s="7">
        <v>22700</v>
      </c>
      <c r="F35" s="7">
        <v>23020</v>
      </c>
      <c r="G35" s="7">
        <v>23240</v>
      </c>
    </row>
    <row r="36" spans="1:7">
      <c r="A36" s="11">
        <v>16</v>
      </c>
      <c r="B36" s="7">
        <v>15200</v>
      </c>
      <c r="C36" s="7">
        <v>15700</v>
      </c>
      <c r="D36" s="7">
        <v>15600</v>
      </c>
      <c r="E36" s="7">
        <v>15220</v>
      </c>
      <c r="F36" s="7">
        <v>15560</v>
      </c>
      <c r="G36" s="7">
        <v>15700</v>
      </c>
    </row>
    <row r="37" spans="1:7">
      <c r="A37" s="11">
        <v>32</v>
      </c>
      <c r="B37" s="7">
        <v>13500</v>
      </c>
      <c r="C37" s="7">
        <v>13800</v>
      </c>
      <c r="D37" s="7">
        <v>13780</v>
      </c>
      <c r="E37" s="7">
        <v>13500</v>
      </c>
      <c r="F37" s="7">
        <v>13720</v>
      </c>
      <c r="G37" s="7">
        <v>13820</v>
      </c>
    </row>
    <row r="38" spans="1:7">
      <c r="A38" s="11">
        <v>64</v>
      </c>
      <c r="B38" s="7">
        <v>10600</v>
      </c>
      <c r="C38" s="7">
        <v>10900</v>
      </c>
      <c r="D38" s="7">
        <v>10800</v>
      </c>
      <c r="E38" s="7">
        <v>10700</v>
      </c>
      <c r="F38" s="7">
        <v>10800</v>
      </c>
      <c r="G38" s="7">
        <v>10900</v>
      </c>
    </row>
    <row r="39" spans="1:7">
      <c r="A39" s="11">
        <v>128</v>
      </c>
      <c r="B39" s="7">
        <v>7608.8</v>
      </c>
      <c r="C39" s="7">
        <v>7732.6</v>
      </c>
      <c r="D39" s="7">
        <v>7707.2</v>
      </c>
      <c r="E39" s="7">
        <v>7615.2</v>
      </c>
      <c r="F39" s="7">
        <v>7686</v>
      </c>
      <c r="G39" s="7">
        <v>7532.4</v>
      </c>
    </row>
    <row r="40" spans="1:7">
      <c r="A40" s="11" t="s">
        <v>5</v>
      </c>
      <c r="B40" s="7"/>
      <c r="C40" s="7"/>
      <c r="D40" s="7"/>
      <c r="E40" s="7"/>
      <c r="F40" s="7"/>
      <c r="G40" s="7"/>
    </row>
    <row r="41" spans="1:7">
      <c r="A41" s="11">
        <v>8</v>
      </c>
      <c r="B41" s="7">
        <v>0</v>
      </c>
      <c r="C41" s="7">
        <v>0</v>
      </c>
      <c r="D41" s="7">
        <v>0</v>
      </c>
      <c r="E41" s="7">
        <v>275.68</v>
      </c>
      <c r="F41" s="7">
        <v>97.98</v>
      </c>
      <c r="G41" s="7">
        <v>80</v>
      </c>
    </row>
    <row r="42" spans="1:7">
      <c r="A42" s="11">
        <v>16</v>
      </c>
      <c r="B42" s="7">
        <v>0</v>
      </c>
      <c r="C42" s="7">
        <v>0</v>
      </c>
      <c r="D42" s="7">
        <v>0</v>
      </c>
      <c r="E42" s="7">
        <v>40</v>
      </c>
      <c r="F42" s="7">
        <v>48.99</v>
      </c>
      <c r="G42" s="7">
        <v>0</v>
      </c>
    </row>
    <row r="43" spans="1:7">
      <c r="A43" s="11">
        <v>32</v>
      </c>
      <c r="B43" s="7">
        <v>0</v>
      </c>
      <c r="C43" s="7">
        <v>0</v>
      </c>
      <c r="D43" s="7">
        <v>40</v>
      </c>
      <c r="E43" s="7">
        <v>0</v>
      </c>
      <c r="F43" s="7">
        <v>40</v>
      </c>
      <c r="G43" s="7">
        <v>40</v>
      </c>
    </row>
    <row r="44" spans="1:7">
      <c r="A44" s="11">
        <v>64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</row>
    <row r="45" spans="1:7">
      <c r="A45" s="11">
        <v>128</v>
      </c>
      <c r="B45" s="7">
        <v>2.4</v>
      </c>
      <c r="C45" s="7">
        <v>5.78</v>
      </c>
      <c r="D45" s="7">
        <v>2.23</v>
      </c>
      <c r="E45" s="7">
        <v>19.63</v>
      </c>
      <c r="F45" s="7">
        <v>1.41</v>
      </c>
      <c r="G45" s="7">
        <v>12.78</v>
      </c>
    </row>
    <row r="46" spans="1:7">
      <c r="A46" s="7"/>
      <c r="B46" s="7"/>
      <c r="C46" s="7"/>
      <c r="D46" s="7"/>
      <c r="E46" s="7"/>
      <c r="F46" s="7"/>
      <c r="G46" s="7"/>
    </row>
    <row r="47" spans="1:7">
      <c r="A47" s="11" t="s">
        <v>6</v>
      </c>
      <c r="B47" s="7" t="s">
        <v>7</v>
      </c>
      <c r="C47" s="7" t="s">
        <v>8</v>
      </c>
      <c r="D47" s="7">
        <v>1</v>
      </c>
      <c r="E47" s="7"/>
      <c r="F47" s="7"/>
      <c r="G47" s="7"/>
    </row>
    <row r="48" spans="1:7">
      <c r="A48" s="11" t="s">
        <v>4</v>
      </c>
      <c r="B48" s="7"/>
      <c r="C48" s="7"/>
      <c r="D48" s="7"/>
      <c r="E48" s="7"/>
      <c r="F48" s="7"/>
      <c r="G48" s="7"/>
    </row>
    <row r="49" spans="1:11">
      <c r="A49" s="11">
        <v>8</v>
      </c>
      <c r="B49" s="7">
        <v>8.58</v>
      </c>
      <c r="C49" s="7">
        <v>99.93</v>
      </c>
      <c r="D49" s="7">
        <v>52.18</v>
      </c>
      <c r="E49" s="7">
        <v>15.43</v>
      </c>
      <c r="F49" s="7">
        <v>12.24</v>
      </c>
      <c r="G49" s="7">
        <v>91.91</v>
      </c>
      <c r="K49" s="2"/>
    </row>
    <row r="50" spans="1:11">
      <c r="A50" s="11">
        <v>16</v>
      </c>
      <c r="B50" s="7">
        <v>6.23</v>
      </c>
      <c r="C50" s="7">
        <v>99.93</v>
      </c>
      <c r="D50" s="7">
        <v>51.66</v>
      </c>
      <c r="E50" s="7">
        <v>12.22</v>
      </c>
      <c r="F50" s="7">
        <v>8.7799999999999994</v>
      </c>
      <c r="G50" s="7">
        <v>91.59</v>
      </c>
      <c r="K50" s="2"/>
    </row>
    <row r="51" spans="1:11">
      <c r="A51" s="11">
        <v>32</v>
      </c>
      <c r="B51" s="7">
        <v>6.12</v>
      </c>
      <c r="C51" s="7">
        <v>99.93</v>
      </c>
      <c r="D51" s="7">
        <v>51.72</v>
      </c>
      <c r="E51" s="7">
        <v>14.94</v>
      </c>
      <c r="F51" s="7">
        <v>8.8699999999999992</v>
      </c>
      <c r="G51" s="7">
        <v>91.62</v>
      </c>
      <c r="K51" s="2"/>
    </row>
    <row r="52" spans="1:11">
      <c r="A52" s="11">
        <v>64</v>
      </c>
      <c r="B52" s="7">
        <v>5.76</v>
      </c>
      <c r="C52" s="7">
        <v>99.93</v>
      </c>
      <c r="D52" s="7">
        <v>51.75</v>
      </c>
      <c r="E52" s="7">
        <v>15.34</v>
      </c>
      <c r="F52" s="7">
        <v>8.5399999999999991</v>
      </c>
      <c r="G52" s="7">
        <v>91.61</v>
      </c>
      <c r="K52" s="2"/>
    </row>
    <row r="53" spans="1:11">
      <c r="A53" s="11">
        <v>128</v>
      </c>
      <c r="B53" s="7">
        <v>5.36</v>
      </c>
      <c r="C53" s="7">
        <v>99.93</v>
      </c>
      <c r="D53" s="7">
        <v>51.77</v>
      </c>
      <c r="E53" s="7">
        <v>5.22</v>
      </c>
      <c r="F53" s="7">
        <v>8.25</v>
      </c>
      <c r="G53" s="7">
        <v>89.19</v>
      </c>
      <c r="K53" s="2"/>
    </row>
    <row r="54" spans="1:11">
      <c r="A54" s="11" t="s">
        <v>5</v>
      </c>
      <c r="B54" s="7"/>
      <c r="C54" s="7"/>
      <c r="D54" s="7"/>
      <c r="E54" s="7"/>
      <c r="F54" s="7"/>
      <c r="G54" s="7"/>
      <c r="K54" s="2"/>
    </row>
    <row r="55" spans="1:11">
      <c r="A55" s="11">
        <v>8</v>
      </c>
      <c r="B55" s="7">
        <v>0.03</v>
      </c>
      <c r="C55" s="7">
        <v>0</v>
      </c>
      <c r="D55" s="7">
        <v>0.05</v>
      </c>
      <c r="E55" s="7">
        <v>0.52</v>
      </c>
      <c r="F55" s="7">
        <v>0.28999999999999998</v>
      </c>
      <c r="G55" s="7">
        <v>0.03</v>
      </c>
    </row>
    <row r="56" spans="1:11">
      <c r="A56" s="11">
        <v>16</v>
      </c>
      <c r="B56" s="7">
        <v>0.04</v>
      </c>
      <c r="C56" s="7">
        <v>0</v>
      </c>
      <c r="D56" s="7">
        <v>0.04</v>
      </c>
      <c r="E56" s="7">
        <v>0.41</v>
      </c>
      <c r="F56" s="7">
        <v>0.08</v>
      </c>
      <c r="G56" s="7">
        <v>0</v>
      </c>
      <c r="K56" s="2"/>
    </row>
    <row r="57" spans="1:11">
      <c r="A57" s="11">
        <v>32</v>
      </c>
      <c r="B57" s="7">
        <v>0.01</v>
      </c>
      <c r="C57" s="7">
        <v>0</v>
      </c>
      <c r="D57" s="7">
        <v>0.01</v>
      </c>
      <c r="E57" s="7">
        <v>0.44</v>
      </c>
      <c r="F57" s="7">
        <v>0.05</v>
      </c>
      <c r="G57" s="7">
        <v>0</v>
      </c>
      <c r="K57" s="2"/>
    </row>
    <row r="58" spans="1:11">
      <c r="A58" s="11">
        <v>64</v>
      </c>
      <c r="B58" s="7">
        <v>0.02</v>
      </c>
      <c r="C58" s="7">
        <v>0</v>
      </c>
      <c r="D58" s="7">
        <v>0.03</v>
      </c>
      <c r="E58" s="7">
        <v>0.3</v>
      </c>
      <c r="F58" s="7">
        <v>0.1</v>
      </c>
      <c r="G58" s="7">
        <v>0</v>
      </c>
      <c r="K58" s="2"/>
    </row>
    <row r="59" spans="1:11">
      <c r="A59" s="11">
        <v>128</v>
      </c>
      <c r="B59" s="7">
        <v>0.02</v>
      </c>
      <c r="C59" s="7">
        <v>0</v>
      </c>
      <c r="D59" s="7">
        <v>0.02</v>
      </c>
      <c r="E59" s="7">
        <v>0.19</v>
      </c>
      <c r="F59" s="7">
        <v>0</v>
      </c>
      <c r="G59" s="7">
        <v>7.0000000000000007E-2</v>
      </c>
      <c r="K59" s="2"/>
    </row>
    <row r="60" spans="1:11">
      <c r="K60" s="2"/>
    </row>
    <row r="61" spans="1:11">
      <c r="K61" s="2"/>
    </row>
    <row r="62" spans="1:11">
      <c r="K62" s="2"/>
    </row>
    <row r="65" spans="11:11">
      <c r="K65" s="2"/>
    </row>
    <row r="66" spans="11:11">
      <c r="K66" s="2"/>
    </row>
    <row r="67" spans="11:11">
      <c r="K67" s="2"/>
    </row>
    <row r="68" spans="11:11">
      <c r="K68" s="2"/>
    </row>
    <row r="69" spans="11:11">
      <c r="K69" s="2"/>
    </row>
    <row r="70" spans="11:11">
      <c r="K70" s="2"/>
    </row>
    <row r="71" spans="11:11">
      <c r="K71" s="2"/>
    </row>
    <row r="72" spans="11:11">
      <c r="K72" s="2"/>
    </row>
    <row r="75" spans="11:11">
      <c r="K75" s="2"/>
    </row>
    <row r="76" spans="11:11">
      <c r="K76" s="2"/>
    </row>
    <row r="77" spans="11:11">
      <c r="K77" s="2"/>
    </row>
    <row r="78" spans="11:11">
      <c r="K78" s="2"/>
    </row>
    <row r="79" spans="11:11">
      <c r="K79" s="2"/>
    </row>
    <row r="80" spans="11:11">
      <c r="K80" s="2"/>
    </row>
    <row r="81" spans="1:11">
      <c r="K81" s="2"/>
    </row>
    <row r="82" spans="1:11">
      <c r="K82" s="2"/>
    </row>
    <row r="83" spans="1:11">
      <c r="A83" s="2"/>
    </row>
    <row r="85" spans="1:11">
      <c r="K85" s="2"/>
    </row>
    <row r="86" spans="1:11">
      <c r="K86" s="2"/>
    </row>
    <row r="87" spans="1:11">
      <c r="K87" s="2"/>
    </row>
    <row r="88" spans="1:11">
      <c r="K88" s="2"/>
    </row>
    <row r="89" spans="1:11">
      <c r="K89" s="2"/>
    </row>
    <row r="90" spans="1:11">
      <c r="K90" s="2"/>
    </row>
    <row r="91" spans="1:11">
      <c r="K91" s="2"/>
    </row>
    <row r="92" spans="1:11">
      <c r="K92" s="2"/>
    </row>
    <row r="95" spans="1:11">
      <c r="K95" s="2"/>
    </row>
    <row r="96" spans="1:11">
      <c r="K96" s="2"/>
    </row>
    <row r="97" spans="11:11">
      <c r="K97" s="2"/>
    </row>
    <row r="98" spans="11:11">
      <c r="K98" s="2"/>
    </row>
    <row r="99" spans="11:11">
      <c r="K99" s="2"/>
    </row>
    <row r="100" spans="11:11">
      <c r="K100" s="2"/>
    </row>
    <row r="101" spans="11:11">
      <c r="K101" s="2"/>
    </row>
    <row r="102" spans="11:11">
      <c r="K102" s="2"/>
    </row>
    <row r="105" spans="11:11">
      <c r="K105" s="2"/>
    </row>
    <row r="106" spans="11:11">
      <c r="K106" s="2"/>
    </row>
    <row r="107" spans="11:11">
      <c r="K107" s="2"/>
    </row>
    <row r="108" spans="11:11">
      <c r="K108" s="2"/>
    </row>
    <row r="109" spans="11:11">
      <c r="K109" s="2"/>
    </row>
    <row r="110" spans="11:11">
      <c r="K110" s="2"/>
    </row>
    <row r="111" spans="11:11">
      <c r="K111" s="2"/>
    </row>
    <row r="112" spans="11:11">
      <c r="K112" s="2"/>
    </row>
    <row r="115" spans="11:11">
      <c r="K115" s="2"/>
    </row>
    <row r="116" spans="11:11">
      <c r="K116" s="2"/>
    </row>
    <row r="117" spans="11:11">
      <c r="K117" s="2"/>
    </row>
    <row r="118" spans="11:11">
      <c r="K118" s="2"/>
    </row>
    <row r="119" spans="11:11">
      <c r="K119" s="2"/>
    </row>
    <row r="120" spans="11:11">
      <c r="K120" s="2"/>
    </row>
    <row r="121" spans="11:11">
      <c r="K121" s="2"/>
    </row>
    <row r="122" spans="11:11">
      <c r="K122" s="2"/>
    </row>
    <row r="125" spans="11:11">
      <c r="K125" s="2"/>
    </row>
    <row r="126" spans="11:11">
      <c r="K126" s="2"/>
    </row>
    <row r="127" spans="11:11">
      <c r="K127" s="2"/>
    </row>
    <row r="128" spans="11:11">
      <c r="K128" s="2"/>
    </row>
    <row r="129" spans="11:11">
      <c r="K129" s="2"/>
    </row>
    <row r="130" spans="11:11">
      <c r="K130" s="2"/>
    </row>
    <row r="131" spans="11:11">
      <c r="K131" s="2"/>
    </row>
    <row r="132" spans="11:11">
      <c r="K132" s="2"/>
    </row>
    <row r="135" spans="11:11">
      <c r="K135" s="2"/>
    </row>
    <row r="136" spans="11:11">
      <c r="K136" s="2"/>
    </row>
    <row r="137" spans="11:11">
      <c r="K137" s="2"/>
    </row>
    <row r="138" spans="11:11">
      <c r="K138" s="2"/>
    </row>
    <row r="139" spans="11:11">
      <c r="K139" s="2"/>
    </row>
    <row r="140" spans="11:11">
      <c r="K140" s="2"/>
    </row>
    <row r="141" spans="11:11">
      <c r="K141" s="2"/>
    </row>
    <row r="142" spans="11:11">
      <c r="K142" s="2"/>
    </row>
    <row r="143" spans="11:11">
      <c r="K143" s="2"/>
    </row>
    <row r="144" spans="11:11">
      <c r="K144" s="2"/>
    </row>
  </sheetData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84606-4255-E24A-8962-D525D3A3FB89}">
  <dimension ref="A1:AG153"/>
  <sheetViews>
    <sheetView zoomScaleNormal="100" workbookViewId="0">
      <selection activeCell="N7" sqref="N7"/>
    </sheetView>
  </sheetViews>
  <sheetFormatPr defaultColWidth="10.6640625" defaultRowHeight="15.7"/>
  <cols>
    <col min="19" max="19" width="13.1640625" customWidth="1"/>
    <col min="30" max="31" width="13.6640625" bestFit="1" customWidth="1"/>
  </cols>
  <sheetData>
    <row r="1" spans="1:33">
      <c r="A1" t="s">
        <v>45</v>
      </c>
      <c r="B1" t="s">
        <v>17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N1" s="13"/>
      <c r="O1" s="13"/>
      <c r="P1" s="21" t="s">
        <v>70</v>
      </c>
      <c r="Q1" s="13" t="s">
        <v>52</v>
      </c>
      <c r="R1" s="13" t="s">
        <v>51</v>
      </c>
      <c r="S1" s="13" t="s">
        <v>50</v>
      </c>
      <c r="T1" s="3"/>
      <c r="U1" s="3"/>
      <c r="V1" s="3"/>
      <c r="W1" s="3"/>
      <c r="X1" s="3"/>
      <c r="Y1" s="3"/>
      <c r="Z1" s="3"/>
      <c r="AA1" s="3"/>
      <c r="AB1" s="3"/>
      <c r="AC1" s="3"/>
      <c r="AD1" t="s">
        <v>49</v>
      </c>
      <c r="AE1" t="s">
        <v>48</v>
      </c>
    </row>
    <row r="2" spans="1:33" ht="18" customHeight="1">
      <c r="A2" t="s">
        <v>28</v>
      </c>
      <c r="B2">
        <f>Q7</f>
        <v>132908</v>
      </c>
      <c r="C2">
        <f>Q2</f>
        <v>138755.6</v>
      </c>
      <c r="D2">
        <f>Q3</f>
        <v>119402.8</v>
      </c>
      <c r="E2">
        <f>Q4</f>
        <v>132048.6</v>
      </c>
      <c r="F2">
        <f>Q5</f>
        <v>138809</v>
      </c>
      <c r="G2">
        <f>Q6</f>
        <v>142473.20000000001</v>
      </c>
      <c r="N2" s="13" t="s">
        <v>43</v>
      </c>
      <c r="O2" s="13" t="s">
        <v>28</v>
      </c>
      <c r="P2" s="13" t="s">
        <v>23</v>
      </c>
      <c r="Q2" s="22">
        <f t="shared" ref="Q2:Q37" si="0">AVERAGE(T2:X2)</f>
        <v>138755.6</v>
      </c>
      <c r="R2" s="22">
        <f t="shared" ref="R2:R37" si="1">AVERAGE(Y2:AC2)</f>
        <v>336.28200000000004</v>
      </c>
      <c r="S2" s="16">
        <f t="shared" ref="S2:S37" si="2">3000000/Q2</f>
        <v>21.620749000400703</v>
      </c>
      <c r="T2" s="2">
        <f t="shared" ref="T2:T37" si="3">C40</f>
        <v>138354</v>
      </c>
      <c r="U2" s="2">
        <f t="shared" ref="U2:U37" si="4">D40</f>
        <v>139022</v>
      </c>
      <c r="V2" s="2">
        <f t="shared" ref="V2:V37" si="5">E40</f>
        <v>137472</v>
      </c>
      <c r="W2" s="2">
        <f t="shared" ref="W2:W37" si="6">F40</f>
        <v>139592</v>
      </c>
      <c r="X2" s="2">
        <f t="shared" ref="X2:X37" si="7">G40</f>
        <v>139338</v>
      </c>
      <c r="Y2" s="2">
        <f t="shared" ref="Y2:Y37" si="8">C77</f>
        <v>329.78</v>
      </c>
      <c r="Z2" s="2">
        <f t="shared" ref="Z2:Z37" si="9">D77</f>
        <v>339.44</v>
      </c>
      <c r="AA2" s="2">
        <f t="shared" ref="AA2:AA37" si="10">E77</f>
        <v>358.22</v>
      </c>
      <c r="AB2" s="2">
        <f t="shared" ref="AB2:AB37" si="11">F77</f>
        <v>332.72</v>
      </c>
      <c r="AC2" s="2">
        <f t="shared" ref="AC2:AC37" si="12">G77</f>
        <v>321.25</v>
      </c>
      <c r="AD2" s="1">
        <f t="shared" ref="AD2:AD37" si="13">STDEV(T41:X41)</f>
        <v>0.67649308458391377</v>
      </c>
      <c r="AE2" s="1">
        <f t="shared" ref="AE2:AE37" si="14">STDEV(Y41:AC41)</f>
        <v>3.4735016553904248</v>
      </c>
      <c r="AF2" s="13" t="s">
        <v>23</v>
      </c>
      <c r="AG2" s="2"/>
    </row>
    <row r="3" spans="1:33">
      <c r="A3" t="s">
        <v>27</v>
      </c>
      <c r="B3">
        <f>Q13</f>
        <v>198397</v>
      </c>
      <c r="C3">
        <f>Q8</f>
        <v>222592.6</v>
      </c>
      <c r="D3">
        <f>Q9</f>
        <v>189230.4</v>
      </c>
      <c r="E3">
        <f>Q10</f>
        <v>195108.2</v>
      </c>
      <c r="F3">
        <f>Q11</f>
        <v>212353.2</v>
      </c>
      <c r="G3">
        <f>Q12</f>
        <v>222123.6</v>
      </c>
      <c r="H3" t="s">
        <v>47</v>
      </c>
      <c r="N3" s="13" t="s">
        <v>42</v>
      </c>
      <c r="O3" s="13" t="s">
        <v>28</v>
      </c>
      <c r="P3" s="13" t="s">
        <v>22</v>
      </c>
      <c r="Q3" s="22">
        <f t="shared" si="0"/>
        <v>119402.8</v>
      </c>
      <c r="R3" s="22">
        <f t="shared" si="1"/>
        <v>252.80600000000004</v>
      </c>
      <c r="S3" s="16">
        <f t="shared" si="2"/>
        <v>25.125038943810363</v>
      </c>
      <c r="T3" s="2">
        <f t="shared" si="3"/>
        <v>120250</v>
      </c>
      <c r="U3" s="2">
        <f t="shared" si="4"/>
        <v>119170</v>
      </c>
      <c r="V3" s="2">
        <f t="shared" si="5"/>
        <v>119390</v>
      </c>
      <c r="W3" s="2">
        <f t="shared" si="6"/>
        <v>118737</v>
      </c>
      <c r="X3" s="2">
        <f t="shared" si="7"/>
        <v>119467</v>
      </c>
      <c r="Y3" s="2">
        <f t="shared" si="8"/>
        <v>246.37</v>
      </c>
      <c r="Z3" s="2">
        <f t="shared" si="9"/>
        <v>267.8</v>
      </c>
      <c r="AA3" s="2">
        <f t="shared" si="10"/>
        <v>247.59</v>
      </c>
      <c r="AB3" s="2">
        <f t="shared" si="11"/>
        <v>254.36</v>
      </c>
      <c r="AC3" s="2">
        <f t="shared" si="12"/>
        <v>247.91</v>
      </c>
      <c r="AD3" s="1">
        <f t="shared" si="13"/>
        <v>0.55839678416381011</v>
      </c>
      <c r="AE3" s="1">
        <f t="shared" si="14"/>
        <v>2.2354897394083482</v>
      </c>
      <c r="AF3" s="13" t="s">
        <v>22</v>
      </c>
      <c r="AG3" s="2"/>
    </row>
    <row r="4" spans="1:33">
      <c r="A4" t="s">
        <v>26</v>
      </c>
      <c r="B4">
        <f>Q19</f>
        <v>176633.8</v>
      </c>
      <c r="C4">
        <f>Q14</f>
        <v>201145.8</v>
      </c>
      <c r="D4">
        <f>Q15</f>
        <v>171752.6</v>
      </c>
      <c r="E4">
        <f>Q16</f>
        <v>173319</v>
      </c>
      <c r="F4">
        <f>Q17</f>
        <v>192101.2</v>
      </c>
      <c r="G4">
        <f>Q18</f>
        <v>200306.4</v>
      </c>
      <c r="N4" s="13"/>
      <c r="O4" s="13" t="s">
        <v>28</v>
      </c>
      <c r="P4" s="13" t="s">
        <v>21</v>
      </c>
      <c r="Q4" s="22">
        <f t="shared" si="0"/>
        <v>132048.6</v>
      </c>
      <c r="R4" s="22">
        <f t="shared" si="1"/>
        <v>321.07799999999997</v>
      </c>
      <c r="S4" s="16">
        <f t="shared" si="2"/>
        <v>22.718908038404042</v>
      </c>
      <c r="T4" s="2">
        <f t="shared" si="3"/>
        <v>133400</v>
      </c>
      <c r="U4" s="2">
        <f t="shared" si="4"/>
        <v>131513</v>
      </c>
      <c r="V4" s="2">
        <f t="shared" si="5"/>
        <v>129971</v>
      </c>
      <c r="W4" s="2">
        <f t="shared" si="6"/>
        <v>134492</v>
      </c>
      <c r="X4" s="2">
        <f t="shared" si="7"/>
        <v>130867</v>
      </c>
      <c r="Y4" s="2">
        <f t="shared" si="8"/>
        <v>323.26</v>
      </c>
      <c r="Z4" s="2">
        <f t="shared" si="9"/>
        <v>316.54000000000002</v>
      </c>
      <c r="AA4" s="2">
        <f t="shared" si="10"/>
        <v>323.88</v>
      </c>
      <c r="AB4" s="2">
        <f t="shared" si="11"/>
        <v>339.92</v>
      </c>
      <c r="AC4" s="2">
        <f t="shared" si="12"/>
        <v>301.79000000000002</v>
      </c>
      <c r="AD4" s="1">
        <f t="shared" si="13"/>
        <v>1.5566478296100339</v>
      </c>
      <c r="AE4" s="1">
        <f t="shared" si="14"/>
        <v>3.4465872613354782</v>
      </c>
      <c r="AF4" s="13" t="s">
        <v>21</v>
      </c>
      <c r="AG4" s="2"/>
    </row>
    <row r="5" spans="1:33">
      <c r="A5" t="s">
        <v>25</v>
      </c>
      <c r="B5">
        <f>Q25</f>
        <v>380546</v>
      </c>
      <c r="C5">
        <f>Q20</f>
        <v>401596.4</v>
      </c>
      <c r="D5">
        <f>Q21</f>
        <v>347453.8</v>
      </c>
      <c r="E5">
        <f>Q22</f>
        <v>375092.2</v>
      </c>
      <c r="F5">
        <f>Q23</f>
        <v>396805.6</v>
      </c>
      <c r="G5">
        <f>Q24</f>
        <v>408247</v>
      </c>
      <c r="N5" s="13"/>
      <c r="O5" s="13" t="s">
        <v>28</v>
      </c>
      <c r="P5" s="13" t="s">
        <v>20</v>
      </c>
      <c r="Q5" s="22">
        <f t="shared" si="0"/>
        <v>138809</v>
      </c>
      <c r="R5" s="22">
        <f t="shared" si="1"/>
        <v>309.71999999999997</v>
      </c>
      <c r="S5" s="16">
        <f t="shared" si="2"/>
        <v>21.612431470581878</v>
      </c>
      <c r="T5" s="2">
        <f t="shared" si="3"/>
        <v>138781</v>
      </c>
      <c r="U5" s="2">
        <f t="shared" si="4"/>
        <v>138842</v>
      </c>
      <c r="V5" s="2">
        <f t="shared" si="5"/>
        <v>138978</v>
      </c>
      <c r="W5" s="2">
        <f t="shared" si="6"/>
        <v>138172</v>
      </c>
      <c r="X5" s="2">
        <f t="shared" si="7"/>
        <v>139272</v>
      </c>
      <c r="Y5" s="2">
        <f t="shared" si="8"/>
        <v>318.57</v>
      </c>
      <c r="Z5" s="2">
        <f t="shared" si="9"/>
        <v>312.54000000000002</v>
      </c>
      <c r="AA5" s="2">
        <f t="shared" si="10"/>
        <v>303.19</v>
      </c>
      <c r="AB5" s="2">
        <f t="shared" si="11"/>
        <v>302.49</v>
      </c>
      <c r="AC5" s="2">
        <f t="shared" si="12"/>
        <v>311.81</v>
      </c>
      <c r="AD5" s="1">
        <f t="shared" si="13"/>
        <v>0.44067859252066088</v>
      </c>
      <c r="AE5" s="1">
        <f t="shared" si="14"/>
        <v>1.7027404382347882</v>
      </c>
      <c r="AF5" s="13" t="s">
        <v>20</v>
      </c>
      <c r="AG5" s="2"/>
    </row>
    <row r="6" spans="1:33">
      <c r="A6" t="s">
        <v>24</v>
      </c>
      <c r="B6">
        <f>Q31</f>
        <v>14912.640000000003</v>
      </c>
      <c r="C6">
        <f>Q26</f>
        <v>15542.779999999999</v>
      </c>
      <c r="D6">
        <f>Q27</f>
        <v>14340.62</v>
      </c>
      <c r="E6">
        <f>Q28</f>
        <v>13965.26</v>
      </c>
      <c r="F6">
        <f>Q29</f>
        <v>15457.039999999999</v>
      </c>
      <c r="G6">
        <f>Q30</f>
        <v>15689.64</v>
      </c>
      <c r="N6" s="13"/>
      <c r="O6" s="13" t="s">
        <v>28</v>
      </c>
      <c r="P6" s="13" t="s">
        <v>19</v>
      </c>
      <c r="Q6" s="22">
        <f t="shared" si="0"/>
        <v>142473.20000000001</v>
      </c>
      <c r="R6" s="22">
        <f t="shared" si="1"/>
        <v>331.81</v>
      </c>
      <c r="S6" s="16">
        <f t="shared" si="2"/>
        <v>21.056591695841743</v>
      </c>
      <c r="T6" s="2">
        <f t="shared" si="3"/>
        <v>142955</v>
      </c>
      <c r="U6" s="2">
        <f t="shared" si="4"/>
        <v>141620</v>
      </c>
      <c r="V6" s="2">
        <f t="shared" si="5"/>
        <v>142489</v>
      </c>
      <c r="W6" s="2">
        <f t="shared" si="6"/>
        <v>142637</v>
      </c>
      <c r="X6" s="2">
        <f t="shared" si="7"/>
        <v>142665</v>
      </c>
      <c r="Y6" s="2">
        <f t="shared" si="8"/>
        <v>334.83</v>
      </c>
      <c r="Z6" s="2">
        <f t="shared" si="9"/>
        <v>321.06</v>
      </c>
      <c r="AA6" s="2">
        <f t="shared" si="10"/>
        <v>351.81</v>
      </c>
      <c r="AB6" s="2">
        <f t="shared" si="11"/>
        <v>321.86</v>
      </c>
      <c r="AC6" s="2">
        <f t="shared" si="12"/>
        <v>329.49</v>
      </c>
      <c r="AD6" s="1">
        <f t="shared" si="13"/>
        <v>0.45460211501556475</v>
      </c>
      <c r="AE6" s="1">
        <f t="shared" si="14"/>
        <v>3.1351530066330087</v>
      </c>
      <c r="AF6" s="13" t="s">
        <v>19</v>
      </c>
      <c r="AG6" s="2"/>
    </row>
    <row r="7" spans="1:33">
      <c r="A7" t="s">
        <v>18</v>
      </c>
      <c r="B7">
        <f>Q37</f>
        <v>121820</v>
      </c>
      <c r="C7">
        <f>Q32</f>
        <v>126729.8</v>
      </c>
      <c r="D7">
        <f>Q33</f>
        <v>110428</v>
      </c>
      <c r="E7">
        <f>Q34</f>
        <v>120537.2</v>
      </c>
      <c r="F7">
        <f>Q35</f>
        <v>127296.6</v>
      </c>
      <c r="G7">
        <f>Q36</f>
        <v>130842</v>
      </c>
      <c r="N7" s="18">
        <f>MAX(S2:S7)</f>
        <v>25.125038943810363</v>
      </c>
      <c r="O7" s="13" t="s">
        <v>28</v>
      </c>
      <c r="P7" s="13" t="s">
        <v>17</v>
      </c>
      <c r="Q7" s="22">
        <f t="shared" si="0"/>
        <v>132908</v>
      </c>
      <c r="R7" s="22">
        <f t="shared" si="1"/>
        <v>241.93200000000002</v>
      </c>
      <c r="S7" s="16">
        <f t="shared" si="2"/>
        <v>22.572004694976975</v>
      </c>
      <c r="T7" s="2">
        <f t="shared" si="3"/>
        <v>132785</v>
      </c>
      <c r="U7" s="2">
        <f t="shared" si="4"/>
        <v>132275</v>
      </c>
      <c r="V7" s="2">
        <f t="shared" si="5"/>
        <v>132687</v>
      </c>
      <c r="W7" s="2">
        <f t="shared" si="6"/>
        <v>132807</v>
      </c>
      <c r="X7" s="2">
        <f t="shared" si="7"/>
        <v>133986</v>
      </c>
      <c r="Y7" s="2">
        <f t="shared" si="8"/>
        <v>232.59</v>
      </c>
      <c r="Z7" s="2">
        <f t="shared" si="9"/>
        <v>242.23</v>
      </c>
      <c r="AA7" s="2">
        <f t="shared" si="10"/>
        <v>258.13</v>
      </c>
      <c r="AB7" s="2">
        <f t="shared" si="11"/>
        <v>234.38</v>
      </c>
      <c r="AC7" s="2">
        <f t="shared" si="12"/>
        <v>242.33</v>
      </c>
      <c r="AD7" s="1">
        <f t="shared" si="13"/>
        <v>0</v>
      </c>
      <c r="AE7" s="1">
        <f t="shared" si="14"/>
        <v>2.5215573065072303</v>
      </c>
      <c r="AF7" s="13" t="s">
        <v>17</v>
      </c>
      <c r="AG7" s="2"/>
    </row>
    <row r="8" spans="1:33">
      <c r="N8" s="13" t="s">
        <v>43</v>
      </c>
      <c r="O8" s="13" t="s">
        <v>27</v>
      </c>
      <c r="P8" s="13" t="s">
        <v>23</v>
      </c>
      <c r="Q8" s="22">
        <f t="shared" si="0"/>
        <v>222592.6</v>
      </c>
      <c r="R8" s="22">
        <f t="shared" si="1"/>
        <v>342.17199999999997</v>
      </c>
      <c r="S8" s="16">
        <f t="shared" si="2"/>
        <v>13.477536989100265</v>
      </c>
      <c r="T8" s="2">
        <f t="shared" si="3"/>
        <v>223639</v>
      </c>
      <c r="U8" s="2">
        <f t="shared" si="4"/>
        <v>223388</v>
      </c>
      <c r="V8" s="2">
        <f t="shared" si="5"/>
        <v>222142</v>
      </c>
      <c r="W8" s="2">
        <f t="shared" si="6"/>
        <v>221233</v>
      </c>
      <c r="X8" s="2">
        <f t="shared" si="7"/>
        <v>222561</v>
      </c>
      <c r="Y8" s="2">
        <f t="shared" si="8"/>
        <v>326.75</v>
      </c>
      <c r="Z8" s="2">
        <f t="shared" si="9"/>
        <v>354.4</v>
      </c>
      <c r="AA8" s="2">
        <f t="shared" si="10"/>
        <v>330.65</v>
      </c>
      <c r="AB8" s="2">
        <f t="shared" si="11"/>
        <v>343.76</v>
      </c>
      <c r="AC8" s="2">
        <f t="shared" si="12"/>
        <v>355.3</v>
      </c>
      <c r="AD8" s="1">
        <f t="shared" si="13"/>
        <v>1.2309427863309419</v>
      </c>
      <c r="AE8" s="1">
        <f t="shared" si="14"/>
        <v>3.2953202613706614</v>
      </c>
      <c r="AF8" s="13" t="s">
        <v>23</v>
      </c>
      <c r="AG8" s="2"/>
    </row>
    <row r="9" spans="1:33">
      <c r="A9" t="s">
        <v>32</v>
      </c>
      <c r="N9" s="13" t="s">
        <v>42</v>
      </c>
      <c r="O9" s="13" t="s">
        <v>27</v>
      </c>
      <c r="P9" s="13" t="s">
        <v>22</v>
      </c>
      <c r="Q9" s="22">
        <f t="shared" si="0"/>
        <v>189230.4</v>
      </c>
      <c r="R9" s="22">
        <f t="shared" si="1"/>
        <v>249.6</v>
      </c>
      <c r="S9" s="16">
        <f t="shared" si="2"/>
        <v>15.853689470613602</v>
      </c>
      <c r="T9" s="2">
        <f t="shared" si="3"/>
        <v>189904</v>
      </c>
      <c r="U9" s="2">
        <f t="shared" si="4"/>
        <v>188949</v>
      </c>
      <c r="V9" s="2">
        <f t="shared" si="5"/>
        <v>191253</v>
      </c>
      <c r="W9" s="2">
        <f t="shared" si="6"/>
        <v>187670</v>
      </c>
      <c r="X9" s="2">
        <f t="shared" si="7"/>
        <v>188376</v>
      </c>
      <c r="Y9" s="2">
        <f t="shared" si="8"/>
        <v>245.42</v>
      </c>
      <c r="Z9" s="2">
        <f t="shared" si="9"/>
        <v>261.58</v>
      </c>
      <c r="AA9" s="2">
        <f t="shared" si="10"/>
        <v>245.5</v>
      </c>
      <c r="AB9" s="2">
        <f t="shared" si="11"/>
        <v>231</v>
      </c>
      <c r="AC9" s="2">
        <f t="shared" si="12"/>
        <v>264.5</v>
      </c>
      <c r="AD9" s="1">
        <f t="shared" si="13"/>
        <v>0.9989183605770704</v>
      </c>
      <c r="AE9" s="1">
        <f t="shared" si="14"/>
        <v>3.4136051324076715</v>
      </c>
      <c r="AF9" s="13" t="s">
        <v>22</v>
      </c>
      <c r="AG9" s="2"/>
    </row>
    <row r="10" spans="1:33">
      <c r="A10" t="s">
        <v>45</v>
      </c>
      <c r="B10" t="s">
        <v>17</v>
      </c>
      <c r="C10" t="s">
        <v>23</v>
      </c>
      <c r="D10" t="s">
        <v>22</v>
      </c>
      <c r="E10" t="s">
        <v>21</v>
      </c>
      <c r="F10" t="s">
        <v>20</v>
      </c>
      <c r="G10" t="s">
        <v>19</v>
      </c>
      <c r="N10" s="13"/>
      <c r="O10" s="13" t="s">
        <v>27</v>
      </c>
      <c r="P10" s="13" t="s">
        <v>21</v>
      </c>
      <c r="Q10" s="22">
        <f t="shared" si="0"/>
        <v>195108.2</v>
      </c>
      <c r="R10" s="22">
        <f t="shared" si="1"/>
        <v>299.52</v>
      </c>
      <c r="S10" s="16">
        <f t="shared" si="2"/>
        <v>15.376083629493788</v>
      </c>
      <c r="T10" s="2">
        <f t="shared" si="3"/>
        <v>197933</v>
      </c>
      <c r="U10" s="2">
        <f t="shared" si="4"/>
        <v>195177</v>
      </c>
      <c r="V10" s="2">
        <f t="shared" si="5"/>
        <v>195952</v>
      </c>
      <c r="W10" s="2">
        <f t="shared" si="6"/>
        <v>193936</v>
      </c>
      <c r="X10" s="2">
        <f t="shared" si="7"/>
        <v>192543</v>
      </c>
      <c r="Y10" s="2">
        <f t="shared" si="8"/>
        <v>291</v>
      </c>
      <c r="Z10" s="2">
        <f t="shared" si="9"/>
        <v>320.76</v>
      </c>
      <c r="AA10" s="2">
        <f t="shared" si="10"/>
        <v>281.72000000000003</v>
      </c>
      <c r="AB10" s="2">
        <f t="shared" si="11"/>
        <v>315.83999999999997</v>
      </c>
      <c r="AC10" s="2">
        <f t="shared" si="12"/>
        <v>288.27999999999997</v>
      </c>
      <c r="AD10" s="1">
        <f t="shared" si="13"/>
        <v>1.3418098224754749</v>
      </c>
      <c r="AE10" s="1">
        <f t="shared" si="14"/>
        <v>4.3897038624490348</v>
      </c>
      <c r="AF10" s="13" t="s">
        <v>21</v>
      </c>
      <c r="AG10" s="2"/>
    </row>
    <row r="11" spans="1:33">
      <c r="A11" t="s">
        <v>28</v>
      </c>
      <c r="B11" s="12">
        <f t="shared" ref="B11:G16" si="15">B2/$B2*100</f>
        <v>100</v>
      </c>
      <c r="C11" s="12">
        <f t="shared" si="15"/>
        <v>104.39973515514491</v>
      </c>
      <c r="D11" s="12">
        <f t="shared" si="15"/>
        <v>89.838685406446558</v>
      </c>
      <c r="E11" s="12">
        <f t="shared" si="15"/>
        <v>99.353387305504555</v>
      </c>
      <c r="F11" s="12">
        <f t="shared" si="15"/>
        <v>104.43991332350197</v>
      </c>
      <c r="G11" s="12">
        <f t="shared" si="15"/>
        <v>107.19685797694648</v>
      </c>
      <c r="N11" s="13"/>
      <c r="O11" s="13" t="s">
        <v>27</v>
      </c>
      <c r="P11" s="13" t="s">
        <v>20</v>
      </c>
      <c r="Q11" s="22">
        <f t="shared" si="0"/>
        <v>212353.2</v>
      </c>
      <c r="R11" s="22">
        <f t="shared" si="1"/>
        <v>294.84000000000003</v>
      </c>
      <c r="S11" s="16">
        <f t="shared" si="2"/>
        <v>14.127406603714942</v>
      </c>
      <c r="T11" s="2">
        <f t="shared" si="3"/>
        <v>214153</v>
      </c>
      <c r="U11" s="2">
        <f t="shared" si="4"/>
        <v>211037</v>
      </c>
      <c r="V11" s="2">
        <f t="shared" si="5"/>
        <v>212213</v>
      </c>
      <c r="W11" s="2">
        <f t="shared" si="6"/>
        <v>211904</v>
      </c>
      <c r="X11" s="2">
        <f t="shared" si="7"/>
        <v>212459</v>
      </c>
      <c r="Y11" s="2">
        <f t="shared" si="8"/>
        <v>288.45</v>
      </c>
      <c r="Z11" s="2">
        <f t="shared" si="9"/>
        <v>282.57</v>
      </c>
      <c r="AA11" s="2">
        <f t="shared" si="10"/>
        <v>293.74</v>
      </c>
      <c r="AB11" s="2">
        <f t="shared" si="11"/>
        <v>316.35000000000002</v>
      </c>
      <c r="AC11" s="2">
        <f t="shared" si="12"/>
        <v>293.08999999999997</v>
      </c>
      <c r="AD11" s="1">
        <f t="shared" si="13"/>
        <v>1.5141130419121465</v>
      </c>
      <c r="AE11" s="1">
        <f t="shared" si="14"/>
        <v>3.207261292754306</v>
      </c>
      <c r="AF11" s="13" t="s">
        <v>20</v>
      </c>
      <c r="AG11" s="2"/>
    </row>
    <row r="12" spans="1:33">
      <c r="A12" t="s">
        <v>27</v>
      </c>
      <c r="B12" s="12">
        <f t="shared" si="15"/>
        <v>100</v>
      </c>
      <c r="C12" s="12">
        <f t="shared" si="15"/>
        <v>112.19554731170331</v>
      </c>
      <c r="D12" s="12">
        <f t="shared" si="15"/>
        <v>95.379668039335272</v>
      </c>
      <c r="E12" s="12">
        <f t="shared" si="15"/>
        <v>98.342313643855505</v>
      </c>
      <c r="F12" s="12">
        <f t="shared" si="15"/>
        <v>107.03448136816584</v>
      </c>
      <c r="G12" s="12">
        <f t="shared" si="15"/>
        <v>111.95915260815437</v>
      </c>
      <c r="N12" s="13"/>
      <c r="O12" s="13" t="s">
        <v>27</v>
      </c>
      <c r="P12" s="13" t="s">
        <v>19</v>
      </c>
      <c r="Q12" s="22">
        <f t="shared" si="0"/>
        <v>222123.6</v>
      </c>
      <c r="R12" s="22">
        <f t="shared" si="1"/>
        <v>350.42200000000003</v>
      </c>
      <c r="S12" s="16">
        <f t="shared" si="2"/>
        <v>13.5059939601195</v>
      </c>
      <c r="T12" s="2">
        <f t="shared" si="3"/>
        <v>222485</v>
      </c>
      <c r="U12" s="2">
        <f t="shared" si="4"/>
        <v>223436</v>
      </c>
      <c r="V12" s="2">
        <f t="shared" si="5"/>
        <v>223162</v>
      </c>
      <c r="W12" s="2">
        <f t="shared" si="6"/>
        <v>221675</v>
      </c>
      <c r="X12" s="2">
        <f t="shared" si="7"/>
        <v>219860</v>
      </c>
      <c r="Y12" s="2">
        <f t="shared" si="8"/>
        <v>376.1</v>
      </c>
      <c r="Z12" s="2">
        <f t="shared" si="9"/>
        <v>331.29</v>
      </c>
      <c r="AA12" s="2">
        <f t="shared" si="10"/>
        <v>341.86</v>
      </c>
      <c r="AB12" s="2">
        <f t="shared" si="11"/>
        <v>357.43</v>
      </c>
      <c r="AC12" s="2">
        <f t="shared" si="12"/>
        <v>345.43</v>
      </c>
      <c r="AD12" s="1">
        <f t="shared" si="13"/>
        <v>0.70717636246536475</v>
      </c>
      <c r="AE12" s="1">
        <f t="shared" si="14"/>
        <v>4.2806488264047076</v>
      </c>
      <c r="AF12" s="13" t="s">
        <v>19</v>
      </c>
      <c r="AG12" s="2"/>
    </row>
    <row r="13" spans="1:33">
      <c r="A13" t="s">
        <v>26</v>
      </c>
      <c r="B13" s="12">
        <f t="shared" si="15"/>
        <v>100</v>
      </c>
      <c r="C13" s="12">
        <f t="shared" si="15"/>
        <v>113.87729868235866</v>
      </c>
      <c r="D13" s="12">
        <f t="shared" si="15"/>
        <v>97.23654249639651</v>
      </c>
      <c r="E13" s="12">
        <f t="shared" si="15"/>
        <v>98.123348985301789</v>
      </c>
      <c r="F13" s="12">
        <f t="shared" si="15"/>
        <v>108.75676116349193</v>
      </c>
      <c r="G13" s="12">
        <f t="shared" si="15"/>
        <v>113.40207819794399</v>
      </c>
      <c r="H13" s="12"/>
      <c r="I13" s="12"/>
      <c r="J13" s="12"/>
      <c r="K13" s="12"/>
      <c r="L13" s="12"/>
      <c r="M13" s="12"/>
      <c r="N13" s="18">
        <f>MAX(S8:S13)</f>
        <v>15.853689470613602</v>
      </c>
      <c r="O13" s="13" t="s">
        <v>27</v>
      </c>
      <c r="P13" s="13" t="s">
        <v>17</v>
      </c>
      <c r="Q13" s="22">
        <f t="shared" si="0"/>
        <v>198397</v>
      </c>
      <c r="R13" s="22">
        <f t="shared" si="1"/>
        <v>222.48000000000002</v>
      </c>
      <c r="S13" s="16">
        <f t="shared" si="2"/>
        <v>15.121196389058301</v>
      </c>
      <c r="T13" s="2">
        <f t="shared" si="3"/>
        <v>196591</v>
      </c>
      <c r="U13" s="2">
        <f t="shared" si="4"/>
        <v>200663</v>
      </c>
      <c r="V13" s="2">
        <f t="shared" si="5"/>
        <v>199874</v>
      </c>
      <c r="W13" s="2">
        <f t="shared" si="6"/>
        <v>198441</v>
      </c>
      <c r="X13" s="2">
        <f t="shared" si="7"/>
        <v>196416</v>
      </c>
      <c r="Y13" s="2">
        <f t="shared" si="8"/>
        <v>229.36</v>
      </c>
      <c r="Z13" s="2">
        <f t="shared" si="9"/>
        <v>207.46</v>
      </c>
      <c r="AA13" s="2">
        <f t="shared" si="10"/>
        <v>227.46</v>
      </c>
      <c r="AB13" s="2">
        <f t="shared" si="11"/>
        <v>231.52</v>
      </c>
      <c r="AC13" s="2">
        <f t="shared" si="12"/>
        <v>216.6</v>
      </c>
      <c r="AD13" s="1">
        <f t="shared" si="13"/>
        <v>0</v>
      </c>
      <c r="AE13" s="1">
        <f t="shared" si="14"/>
        <v>2.5434695791379154</v>
      </c>
      <c r="AF13" s="13" t="s">
        <v>17</v>
      </c>
      <c r="AG13" s="2"/>
    </row>
    <row r="14" spans="1:33">
      <c r="A14" t="s">
        <v>25</v>
      </c>
      <c r="B14" s="12">
        <f t="shared" si="15"/>
        <v>100</v>
      </c>
      <c r="C14" s="12">
        <f t="shared" si="15"/>
        <v>105.53163086722761</v>
      </c>
      <c r="D14" s="12">
        <f t="shared" si="15"/>
        <v>91.304021064470518</v>
      </c>
      <c r="E14" s="12">
        <f t="shared" si="15"/>
        <v>98.566848685835623</v>
      </c>
      <c r="F14" s="12">
        <f t="shared" si="15"/>
        <v>104.27270290582477</v>
      </c>
      <c r="G14" s="12">
        <f t="shared" si="15"/>
        <v>107.27927766945389</v>
      </c>
      <c r="H14" s="12"/>
      <c r="I14" s="12"/>
      <c r="J14" s="12"/>
      <c r="K14" s="12"/>
      <c r="L14" s="12"/>
      <c r="M14" s="12"/>
      <c r="N14" s="13" t="s">
        <v>43</v>
      </c>
      <c r="O14" s="13" t="s">
        <v>26</v>
      </c>
      <c r="P14" s="13" t="s">
        <v>23</v>
      </c>
      <c r="Q14" s="22">
        <f t="shared" si="0"/>
        <v>201145.8</v>
      </c>
      <c r="R14" s="22">
        <f t="shared" si="1"/>
        <v>364.12399999999997</v>
      </c>
      <c r="S14" s="16">
        <f t="shared" si="2"/>
        <v>14.914554517171128</v>
      </c>
      <c r="T14" s="2">
        <f t="shared" si="3"/>
        <v>199752</v>
      </c>
      <c r="U14" s="2">
        <f t="shared" si="4"/>
        <v>202276</v>
      </c>
      <c r="V14" s="2">
        <f t="shared" si="5"/>
        <v>202519</v>
      </c>
      <c r="W14" s="2">
        <f t="shared" si="6"/>
        <v>199309</v>
      </c>
      <c r="X14" s="2">
        <f t="shared" si="7"/>
        <v>201873</v>
      </c>
      <c r="Y14" s="2">
        <f t="shared" si="8"/>
        <v>348.64</v>
      </c>
      <c r="Z14" s="2">
        <f t="shared" si="9"/>
        <v>362.71</v>
      </c>
      <c r="AA14" s="2">
        <f t="shared" si="10"/>
        <v>356.09</v>
      </c>
      <c r="AB14" s="2">
        <f t="shared" si="11"/>
        <v>374.82</v>
      </c>
      <c r="AC14" s="2">
        <f t="shared" si="12"/>
        <v>378.36</v>
      </c>
      <c r="AD14" s="1">
        <f t="shared" si="13"/>
        <v>1.4228790009029486</v>
      </c>
      <c r="AE14" s="1">
        <f t="shared" si="14"/>
        <v>3.1209146295597412</v>
      </c>
      <c r="AF14" s="13" t="s">
        <v>23</v>
      </c>
      <c r="AG14" s="2"/>
    </row>
    <row r="15" spans="1:33">
      <c r="A15" t="s">
        <v>24</v>
      </c>
      <c r="B15" s="12">
        <f t="shared" si="15"/>
        <v>100</v>
      </c>
      <c r="C15" s="12">
        <f t="shared" si="15"/>
        <v>104.22554289515469</v>
      </c>
      <c r="D15" s="12">
        <f t="shared" si="15"/>
        <v>96.164193596841315</v>
      </c>
      <c r="E15" s="12">
        <f t="shared" si="15"/>
        <v>93.64713424316551</v>
      </c>
      <c r="F15" s="12">
        <f t="shared" si="15"/>
        <v>103.65059439509029</v>
      </c>
      <c r="G15" s="12">
        <f t="shared" si="15"/>
        <v>105.21034504956866</v>
      </c>
      <c r="H15" s="12" t="s">
        <v>29</v>
      </c>
      <c r="I15" s="12"/>
      <c r="J15" s="12"/>
      <c r="K15" s="12"/>
      <c r="L15" s="12"/>
      <c r="M15" s="12"/>
      <c r="N15" s="13"/>
      <c r="O15" s="13" t="s">
        <v>26</v>
      </c>
      <c r="P15" s="13" t="s">
        <v>22</v>
      </c>
      <c r="Q15" s="22">
        <f t="shared" si="0"/>
        <v>171752.6</v>
      </c>
      <c r="R15" s="22">
        <f t="shared" si="1"/>
        <v>247.01200000000003</v>
      </c>
      <c r="S15" s="16">
        <f t="shared" si="2"/>
        <v>17.466984488153308</v>
      </c>
      <c r="T15" s="2">
        <f t="shared" si="3"/>
        <v>170131</v>
      </c>
      <c r="U15" s="2">
        <f t="shared" si="4"/>
        <v>173846</v>
      </c>
      <c r="V15" s="2">
        <f t="shared" si="5"/>
        <v>172908</v>
      </c>
      <c r="W15" s="2">
        <f t="shared" si="6"/>
        <v>169660</v>
      </c>
      <c r="X15" s="2">
        <f t="shared" si="7"/>
        <v>172218</v>
      </c>
      <c r="Y15" s="2">
        <f t="shared" si="8"/>
        <v>253.79</v>
      </c>
      <c r="Z15" s="2">
        <f t="shared" si="9"/>
        <v>241.93</v>
      </c>
      <c r="AA15" s="2">
        <f t="shared" si="10"/>
        <v>258.41000000000003</v>
      </c>
      <c r="AB15" s="2">
        <f t="shared" si="11"/>
        <v>239</v>
      </c>
      <c r="AC15" s="2">
        <f t="shared" si="12"/>
        <v>241.93</v>
      </c>
      <c r="AD15" s="1">
        <f t="shared" si="13"/>
        <v>1.3320752729784371</v>
      </c>
      <c r="AE15" s="1">
        <f t="shared" si="14"/>
        <v>2.1349080776464371</v>
      </c>
      <c r="AF15" s="13" t="s">
        <v>22</v>
      </c>
      <c r="AG15" s="2"/>
    </row>
    <row r="16" spans="1:33">
      <c r="A16" t="s">
        <v>18</v>
      </c>
      <c r="B16" s="12">
        <f t="shared" si="15"/>
        <v>100</v>
      </c>
      <c r="C16" s="12">
        <f t="shared" si="15"/>
        <v>104.03037268100476</v>
      </c>
      <c r="D16" s="12">
        <f t="shared" si="15"/>
        <v>90.64849778361517</v>
      </c>
      <c r="E16" s="12">
        <f t="shared" si="15"/>
        <v>98.946970940732228</v>
      </c>
      <c r="F16" s="12">
        <f t="shared" si="15"/>
        <v>104.49564931866688</v>
      </c>
      <c r="G16" s="12">
        <f t="shared" si="15"/>
        <v>107.40600886553932</v>
      </c>
      <c r="H16" s="12"/>
      <c r="I16" s="12"/>
      <c r="J16" s="12"/>
      <c r="K16" s="12"/>
      <c r="L16" s="12"/>
      <c r="M16" s="12"/>
      <c r="N16" s="13"/>
      <c r="O16" s="13" t="s">
        <v>26</v>
      </c>
      <c r="P16" s="13" t="s">
        <v>21</v>
      </c>
      <c r="Q16" s="22">
        <f t="shared" si="0"/>
        <v>173319</v>
      </c>
      <c r="R16" s="22">
        <f t="shared" si="1"/>
        <v>286.90600000000001</v>
      </c>
      <c r="S16" s="16">
        <f t="shared" si="2"/>
        <v>17.309123639070155</v>
      </c>
      <c r="T16" s="2">
        <f t="shared" si="3"/>
        <v>177930</v>
      </c>
      <c r="U16" s="2">
        <f t="shared" si="4"/>
        <v>169346</v>
      </c>
      <c r="V16" s="2">
        <f t="shared" si="5"/>
        <v>172184</v>
      </c>
      <c r="W16" s="2">
        <f t="shared" si="6"/>
        <v>173891</v>
      </c>
      <c r="X16" s="2">
        <f t="shared" si="7"/>
        <v>173244</v>
      </c>
      <c r="Y16" s="2">
        <f t="shared" si="8"/>
        <v>282</v>
      </c>
      <c r="Z16" s="2">
        <f t="shared" si="9"/>
        <v>287.87</v>
      </c>
      <c r="AA16" s="2">
        <f t="shared" si="10"/>
        <v>300.14</v>
      </c>
      <c r="AB16" s="2">
        <f t="shared" si="11"/>
        <v>278.07</v>
      </c>
      <c r="AC16" s="2">
        <f t="shared" si="12"/>
        <v>286.45</v>
      </c>
      <c r="AD16" s="1">
        <f t="shared" si="13"/>
        <v>1.8653678870659807</v>
      </c>
      <c r="AE16" s="1">
        <f t="shared" si="14"/>
        <v>2.0857392274682844</v>
      </c>
      <c r="AF16" s="13" t="s">
        <v>21</v>
      </c>
      <c r="AG16" s="2"/>
    </row>
    <row r="17" spans="1:33">
      <c r="A17" t="s">
        <v>41</v>
      </c>
      <c r="B17" s="12">
        <f t="shared" ref="B17:G17" si="16">GEOMEAN(B11:B16)</f>
        <v>100</v>
      </c>
      <c r="C17" s="12">
        <f t="shared" si="16"/>
        <v>107.3012688296475</v>
      </c>
      <c r="D17" s="12">
        <f t="shared" si="16"/>
        <v>93.38320361473086</v>
      </c>
      <c r="E17" s="12">
        <f t="shared" si="16"/>
        <v>97.810892461931843</v>
      </c>
      <c r="F17" s="12">
        <f t="shared" si="16"/>
        <v>105.42602992770688</v>
      </c>
      <c r="G17" s="12">
        <f t="shared" si="16"/>
        <v>108.70368234857868</v>
      </c>
      <c r="H17" s="12"/>
      <c r="I17" s="12"/>
      <c r="J17" s="12"/>
      <c r="K17" s="12"/>
      <c r="L17" s="12"/>
      <c r="M17" s="12"/>
      <c r="N17" s="13"/>
      <c r="O17" s="13" t="s">
        <v>26</v>
      </c>
      <c r="P17" s="13" t="s">
        <v>20</v>
      </c>
      <c r="Q17" s="22">
        <f t="shared" si="0"/>
        <v>192101.2</v>
      </c>
      <c r="R17" s="22">
        <f t="shared" si="1"/>
        <v>287.54200000000003</v>
      </c>
      <c r="S17" s="16">
        <f t="shared" si="2"/>
        <v>15.616768661517991</v>
      </c>
      <c r="T17" s="2">
        <f t="shared" si="3"/>
        <v>192113</v>
      </c>
      <c r="U17" s="2">
        <f t="shared" si="4"/>
        <v>190772</v>
      </c>
      <c r="V17" s="2">
        <f t="shared" si="5"/>
        <v>191590</v>
      </c>
      <c r="W17" s="2">
        <f t="shared" si="6"/>
        <v>192648</v>
      </c>
      <c r="X17" s="2">
        <f t="shared" si="7"/>
        <v>193383</v>
      </c>
      <c r="Y17" s="2">
        <f t="shared" si="8"/>
        <v>265.95999999999998</v>
      </c>
      <c r="Z17" s="2">
        <f t="shared" si="9"/>
        <v>301.23</v>
      </c>
      <c r="AA17" s="2">
        <f t="shared" si="10"/>
        <v>302.54000000000002</v>
      </c>
      <c r="AB17" s="2">
        <f t="shared" si="11"/>
        <v>285.58</v>
      </c>
      <c r="AC17" s="2">
        <f t="shared" si="12"/>
        <v>282.39999999999998</v>
      </c>
      <c r="AD17" s="1">
        <f t="shared" si="13"/>
        <v>1.2261765995592087</v>
      </c>
      <c r="AE17" s="1">
        <f t="shared" si="14"/>
        <v>3.7674047765006664</v>
      </c>
      <c r="AF17" s="13" t="s">
        <v>20</v>
      </c>
      <c r="AG17" s="2"/>
    </row>
    <row r="18" spans="1:33">
      <c r="H18" s="12"/>
      <c r="I18" s="12"/>
      <c r="J18" s="12"/>
      <c r="K18" s="12"/>
      <c r="L18" s="12"/>
      <c r="M18" s="12"/>
      <c r="N18" s="13"/>
      <c r="O18" s="13" t="s">
        <v>26</v>
      </c>
      <c r="P18" s="13" t="s">
        <v>19</v>
      </c>
      <c r="Q18" s="22">
        <f t="shared" si="0"/>
        <v>200306.4</v>
      </c>
      <c r="R18" s="22">
        <f t="shared" si="1"/>
        <v>350.88</v>
      </c>
      <c r="S18" s="16">
        <f t="shared" si="2"/>
        <v>14.977055151507891</v>
      </c>
      <c r="T18" s="2">
        <f t="shared" si="3"/>
        <v>200753</v>
      </c>
      <c r="U18" s="2">
        <f t="shared" si="4"/>
        <v>200764</v>
      </c>
      <c r="V18" s="2">
        <f t="shared" si="5"/>
        <v>200797</v>
      </c>
      <c r="W18" s="2">
        <f t="shared" si="6"/>
        <v>200294</v>
      </c>
      <c r="X18" s="2">
        <f t="shared" si="7"/>
        <v>198924</v>
      </c>
      <c r="Y18" s="2">
        <f t="shared" si="8"/>
        <v>368.91</v>
      </c>
      <c r="Z18" s="2">
        <f t="shared" si="9"/>
        <v>344.78</v>
      </c>
      <c r="AA18" s="2">
        <f t="shared" si="10"/>
        <v>361.04</v>
      </c>
      <c r="AB18" s="2">
        <f t="shared" si="11"/>
        <v>330.71</v>
      </c>
      <c r="AC18" s="2">
        <f t="shared" si="12"/>
        <v>348.96</v>
      </c>
      <c r="AD18" s="1">
        <f t="shared" si="13"/>
        <v>1.3887833797175679</v>
      </c>
      <c r="AE18" s="1">
        <f t="shared" si="14"/>
        <v>3.6997292975297582</v>
      </c>
      <c r="AF18" s="13" t="s">
        <v>19</v>
      </c>
      <c r="AG18" s="2"/>
    </row>
    <row r="19" spans="1:33">
      <c r="A19" t="s">
        <v>45</v>
      </c>
      <c r="B19" t="s">
        <v>17</v>
      </c>
      <c r="C19" t="s">
        <v>23</v>
      </c>
      <c r="D19" t="s">
        <v>22</v>
      </c>
      <c r="E19" t="s">
        <v>21</v>
      </c>
      <c r="F19" t="s">
        <v>20</v>
      </c>
      <c r="G19" t="s">
        <v>19</v>
      </c>
      <c r="H19" s="12"/>
      <c r="I19" s="12"/>
      <c r="J19" s="12"/>
      <c r="K19" s="12"/>
      <c r="L19" s="12"/>
      <c r="M19" s="12"/>
      <c r="N19" s="18">
        <f>MAX(S14:S19)</f>
        <v>17.466984488153308</v>
      </c>
      <c r="O19" s="13" t="s">
        <v>26</v>
      </c>
      <c r="P19" s="13" t="s">
        <v>17</v>
      </c>
      <c r="Q19" s="22">
        <f t="shared" si="0"/>
        <v>176633.8</v>
      </c>
      <c r="R19" s="22">
        <f t="shared" si="1"/>
        <v>203.108</v>
      </c>
      <c r="S19" s="16">
        <f t="shared" si="2"/>
        <v>16.984291794662177</v>
      </c>
      <c r="T19" s="2">
        <f t="shared" si="3"/>
        <v>178131</v>
      </c>
      <c r="U19" s="2">
        <f t="shared" si="4"/>
        <v>177699</v>
      </c>
      <c r="V19" s="2">
        <f t="shared" si="5"/>
        <v>174483</v>
      </c>
      <c r="W19" s="2">
        <f t="shared" si="6"/>
        <v>174801</v>
      </c>
      <c r="X19" s="2">
        <f t="shared" si="7"/>
        <v>178055</v>
      </c>
      <c r="Y19" s="2">
        <f t="shared" si="8"/>
        <v>210.64</v>
      </c>
      <c r="Z19" s="2">
        <f t="shared" si="9"/>
        <v>201.07</v>
      </c>
      <c r="AA19" s="2">
        <f t="shared" si="10"/>
        <v>214.97</v>
      </c>
      <c r="AB19" s="2">
        <f t="shared" si="11"/>
        <v>192.72</v>
      </c>
      <c r="AC19" s="2">
        <f t="shared" si="12"/>
        <v>196.14</v>
      </c>
      <c r="AD19" s="1">
        <f t="shared" si="13"/>
        <v>0</v>
      </c>
      <c r="AE19" s="1">
        <f t="shared" si="14"/>
        <v>2.365292925833923</v>
      </c>
      <c r="AF19" s="13" t="s">
        <v>17</v>
      </c>
      <c r="AG19" s="2"/>
    </row>
    <row r="20" spans="1:33">
      <c r="A20" t="s">
        <v>28</v>
      </c>
      <c r="B20">
        <f>R7</f>
        <v>241.93200000000002</v>
      </c>
      <c r="C20">
        <f>R2</f>
        <v>336.28200000000004</v>
      </c>
      <c r="D20">
        <f>R3</f>
        <v>252.80600000000004</v>
      </c>
      <c r="E20">
        <f>R4</f>
        <v>321.07799999999997</v>
      </c>
      <c r="F20">
        <f>R5</f>
        <v>309.71999999999997</v>
      </c>
      <c r="G20">
        <f>R6</f>
        <v>331.81</v>
      </c>
      <c r="N20" s="13" t="s">
        <v>46</v>
      </c>
      <c r="O20" s="13" t="s">
        <v>25</v>
      </c>
      <c r="P20" s="13" t="s">
        <v>23</v>
      </c>
      <c r="Q20" s="22">
        <f t="shared" si="0"/>
        <v>401596.4</v>
      </c>
      <c r="R20" s="22">
        <f t="shared" si="1"/>
        <v>347.16800000000001</v>
      </c>
      <c r="S20" s="16">
        <f t="shared" si="2"/>
        <v>7.4701864857354296</v>
      </c>
      <c r="T20" s="2">
        <f t="shared" si="3"/>
        <v>402134</v>
      </c>
      <c r="U20" s="2">
        <f t="shared" si="4"/>
        <v>400717</v>
      </c>
      <c r="V20" s="2">
        <f t="shared" si="5"/>
        <v>401439</v>
      </c>
      <c r="W20" s="2">
        <f t="shared" si="6"/>
        <v>401397</v>
      </c>
      <c r="X20" s="2">
        <f t="shared" si="7"/>
        <v>402295</v>
      </c>
      <c r="Y20" s="2">
        <f t="shared" si="8"/>
        <v>361.06</v>
      </c>
      <c r="Z20" s="2">
        <f t="shared" si="9"/>
        <v>347.33</v>
      </c>
      <c r="AA20" s="2">
        <f t="shared" si="10"/>
        <v>345.12</v>
      </c>
      <c r="AB20" s="2">
        <f t="shared" si="11"/>
        <v>338.85</v>
      </c>
      <c r="AC20" s="2">
        <f t="shared" si="12"/>
        <v>343.48</v>
      </c>
      <c r="AD20" s="1">
        <f t="shared" si="13"/>
        <v>0.72664489968881762</v>
      </c>
      <c r="AE20" s="1">
        <f t="shared" si="14"/>
        <v>2.0916451360113628</v>
      </c>
      <c r="AF20" s="13" t="s">
        <v>23</v>
      </c>
      <c r="AG20" s="2"/>
    </row>
    <row r="21" spans="1:33">
      <c r="A21" t="s">
        <v>27</v>
      </c>
      <c r="B21">
        <f>R13</f>
        <v>222.48000000000002</v>
      </c>
      <c r="C21">
        <f>R8</f>
        <v>342.17199999999997</v>
      </c>
      <c r="D21">
        <f>R9</f>
        <v>249.6</v>
      </c>
      <c r="E21">
        <f>R10</f>
        <v>299.52</v>
      </c>
      <c r="F21">
        <f>R11</f>
        <v>294.84000000000003</v>
      </c>
      <c r="G21">
        <f>R12</f>
        <v>350.42200000000003</v>
      </c>
      <c r="N21" s="13" t="s">
        <v>43</v>
      </c>
      <c r="O21" s="13" t="s">
        <v>25</v>
      </c>
      <c r="P21" s="13" t="s">
        <v>22</v>
      </c>
      <c r="Q21" s="22">
        <f t="shared" si="0"/>
        <v>347453.8</v>
      </c>
      <c r="R21" s="22">
        <f t="shared" si="1"/>
        <v>272.83599999999996</v>
      </c>
      <c r="S21" s="16">
        <f t="shared" si="2"/>
        <v>8.6342414444740569</v>
      </c>
      <c r="T21" s="2">
        <f t="shared" si="3"/>
        <v>348007</v>
      </c>
      <c r="U21" s="2">
        <f t="shared" si="4"/>
        <v>348112</v>
      </c>
      <c r="V21" s="2">
        <f t="shared" si="5"/>
        <v>347121</v>
      </c>
      <c r="W21" s="2">
        <f t="shared" si="6"/>
        <v>346284</v>
      </c>
      <c r="X21" s="2">
        <f t="shared" si="7"/>
        <v>347745</v>
      </c>
      <c r="Y21" s="2">
        <f t="shared" si="8"/>
        <v>269.93</v>
      </c>
      <c r="Z21" s="2">
        <f t="shared" si="9"/>
        <v>261.12</v>
      </c>
      <c r="AA21" s="2">
        <f t="shared" si="10"/>
        <v>261.27</v>
      </c>
      <c r="AB21" s="2">
        <f t="shared" si="11"/>
        <v>284.88</v>
      </c>
      <c r="AC21" s="2">
        <f t="shared" si="12"/>
        <v>286.98</v>
      </c>
      <c r="AD21" s="1">
        <f t="shared" si="13"/>
        <v>0.80830866879182761</v>
      </c>
      <c r="AE21" s="1">
        <f t="shared" si="14"/>
        <v>3.1239811339059029</v>
      </c>
      <c r="AF21" s="13" t="s">
        <v>22</v>
      </c>
      <c r="AG21" s="2"/>
    </row>
    <row r="22" spans="1:33">
      <c r="A22" t="s">
        <v>26</v>
      </c>
      <c r="B22">
        <f>R19</f>
        <v>203.108</v>
      </c>
      <c r="C22">
        <f>R14</f>
        <v>364.12399999999997</v>
      </c>
      <c r="D22">
        <f>R15</f>
        <v>247.01200000000003</v>
      </c>
      <c r="E22">
        <f>R16</f>
        <v>286.90600000000001</v>
      </c>
      <c r="F22">
        <f>R17</f>
        <v>287.54200000000003</v>
      </c>
      <c r="G22">
        <f>R18</f>
        <v>350.88</v>
      </c>
      <c r="N22" s="13"/>
      <c r="O22" s="13" t="s">
        <v>25</v>
      </c>
      <c r="P22" s="13" t="s">
        <v>21</v>
      </c>
      <c r="Q22" s="22">
        <f t="shared" si="0"/>
        <v>375092.2</v>
      </c>
      <c r="R22" s="22">
        <f t="shared" si="1"/>
        <v>317.404</v>
      </c>
      <c r="S22" s="16">
        <f t="shared" si="2"/>
        <v>7.9980335501511357</v>
      </c>
      <c r="T22" s="2">
        <f t="shared" si="3"/>
        <v>382601</v>
      </c>
      <c r="U22" s="2">
        <f t="shared" si="4"/>
        <v>381668</v>
      </c>
      <c r="V22" s="2">
        <f t="shared" si="5"/>
        <v>370573</v>
      </c>
      <c r="W22" s="2">
        <f t="shared" si="6"/>
        <v>369576</v>
      </c>
      <c r="X22" s="2">
        <f t="shared" si="7"/>
        <v>371043</v>
      </c>
      <c r="Y22" s="2">
        <f t="shared" si="8"/>
        <v>333.47</v>
      </c>
      <c r="Z22" s="2">
        <f t="shared" si="9"/>
        <v>325.31</v>
      </c>
      <c r="AA22" s="2">
        <f t="shared" si="10"/>
        <v>312.16000000000003</v>
      </c>
      <c r="AB22" s="2">
        <f t="shared" si="11"/>
        <v>309.45999999999998</v>
      </c>
      <c r="AC22" s="2">
        <f t="shared" si="12"/>
        <v>306.62</v>
      </c>
      <c r="AD22" s="1">
        <f t="shared" si="13"/>
        <v>1.9944300137223165</v>
      </c>
      <c r="AE22" s="1">
        <f t="shared" si="14"/>
        <v>2.8709823014083549</v>
      </c>
      <c r="AF22" s="13" t="s">
        <v>21</v>
      </c>
      <c r="AG22" s="2"/>
    </row>
    <row r="23" spans="1:33">
      <c r="A23" t="s">
        <v>25</v>
      </c>
      <c r="B23">
        <f>R25</f>
        <v>261.04800000000006</v>
      </c>
      <c r="C23">
        <f>R20</f>
        <v>347.16800000000001</v>
      </c>
      <c r="D23">
        <f>R21</f>
        <v>272.83599999999996</v>
      </c>
      <c r="E23">
        <f>R22</f>
        <v>317.404</v>
      </c>
      <c r="F23">
        <f>R23</f>
        <v>324.3</v>
      </c>
      <c r="G23">
        <f>R24</f>
        <v>348.608</v>
      </c>
      <c r="N23" s="13"/>
      <c r="O23" s="13" t="s">
        <v>25</v>
      </c>
      <c r="P23" s="13" t="s">
        <v>20</v>
      </c>
      <c r="Q23" s="22">
        <f t="shared" si="0"/>
        <v>396805.6</v>
      </c>
      <c r="R23" s="22">
        <f t="shared" si="1"/>
        <v>324.3</v>
      </c>
      <c r="S23" s="16">
        <f t="shared" si="2"/>
        <v>7.560377172096362</v>
      </c>
      <c r="T23" s="2">
        <f t="shared" si="3"/>
        <v>395690</v>
      </c>
      <c r="U23" s="2">
        <f t="shared" si="4"/>
        <v>397449</v>
      </c>
      <c r="V23" s="2">
        <f t="shared" si="5"/>
        <v>399951</v>
      </c>
      <c r="W23" s="2">
        <f t="shared" si="6"/>
        <v>395137</v>
      </c>
      <c r="X23" s="2">
        <f t="shared" si="7"/>
        <v>395801</v>
      </c>
      <c r="Y23" s="2">
        <f t="shared" si="8"/>
        <v>312.32</v>
      </c>
      <c r="Z23" s="2">
        <f t="shared" si="9"/>
        <v>347.59</v>
      </c>
      <c r="AA23" s="2">
        <f t="shared" si="10"/>
        <v>320.26</v>
      </c>
      <c r="AB23" s="2">
        <f t="shared" si="11"/>
        <v>311.58999999999997</v>
      </c>
      <c r="AC23" s="2">
        <f t="shared" si="12"/>
        <v>329.74</v>
      </c>
      <c r="AD23" s="1">
        <f t="shared" si="13"/>
        <v>1.268918903770736</v>
      </c>
      <c r="AE23" s="1">
        <f t="shared" si="14"/>
        <v>3.7362326446569138</v>
      </c>
      <c r="AF23" s="13" t="s">
        <v>20</v>
      </c>
      <c r="AG23" s="2"/>
    </row>
    <row r="24" spans="1:33">
      <c r="A24" t="s">
        <v>24</v>
      </c>
      <c r="B24">
        <f>R31</f>
        <v>250.88400000000001</v>
      </c>
      <c r="C24">
        <f>R26</f>
        <v>348.17</v>
      </c>
      <c r="D24">
        <f>R27</f>
        <v>271.37399999999997</v>
      </c>
      <c r="E24">
        <f>R28</f>
        <v>273.14</v>
      </c>
      <c r="F24">
        <f>R29</f>
        <v>302.71800000000002</v>
      </c>
      <c r="G24">
        <f>R30</f>
        <v>335.83600000000001</v>
      </c>
      <c r="N24" s="13"/>
      <c r="O24" s="13" t="s">
        <v>25</v>
      </c>
      <c r="P24" s="13" t="s">
        <v>19</v>
      </c>
      <c r="Q24" s="22">
        <f t="shared" si="0"/>
        <v>408247</v>
      </c>
      <c r="R24" s="22">
        <f t="shared" si="1"/>
        <v>348.608</v>
      </c>
      <c r="S24" s="16">
        <f t="shared" si="2"/>
        <v>7.348492456772493</v>
      </c>
      <c r="T24" s="2">
        <f t="shared" si="3"/>
        <v>411885</v>
      </c>
      <c r="U24" s="2">
        <f t="shared" si="4"/>
        <v>407915</v>
      </c>
      <c r="V24" s="2">
        <f t="shared" si="5"/>
        <v>410528</v>
      </c>
      <c r="W24" s="2">
        <f t="shared" si="6"/>
        <v>404594</v>
      </c>
      <c r="X24" s="2">
        <f t="shared" si="7"/>
        <v>406313</v>
      </c>
      <c r="Y24" s="2">
        <f t="shared" si="8"/>
        <v>349.31</v>
      </c>
      <c r="Z24" s="2">
        <f t="shared" si="9"/>
        <v>347.7</v>
      </c>
      <c r="AA24" s="2">
        <f t="shared" si="10"/>
        <v>364.25</v>
      </c>
      <c r="AB24" s="2">
        <f t="shared" si="11"/>
        <v>351.48</v>
      </c>
      <c r="AC24" s="2">
        <f t="shared" si="12"/>
        <v>330.3</v>
      </c>
      <c r="AD24" s="1">
        <f t="shared" si="13"/>
        <v>1.2995810643269259</v>
      </c>
      <c r="AE24" s="1">
        <f t="shared" si="14"/>
        <v>3.0347484450939248</v>
      </c>
      <c r="AF24" s="13" t="s">
        <v>19</v>
      </c>
      <c r="AG24" s="2"/>
    </row>
    <row r="25" spans="1:33">
      <c r="A25" t="s">
        <v>18</v>
      </c>
      <c r="B25">
        <f>R37</f>
        <v>258.20400000000006</v>
      </c>
      <c r="C25">
        <f>R32</f>
        <v>332.08000000000004</v>
      </c>
      <c r="D25">
        <f>R33</f>
        <v>261.42999999999995</v>
      </c>
      <c r="E25">
        <f>R34</f>
        <v>331.512</v>
      </c>
      <c r="F25">
        <f>R35</f>
        <v>321.85800000000006</v>
      </c>
      <c r="G25">
        <f>R36</f>
        <v>336.68599999999998</v>
      </c>
      <c r="N25" s="18">
        <f>MAX(S20:S25)</f>
        <v>8.6342414444740569</v>
      </c>
      <c r="O25" s="13" t="s">
        <v>25</v>
      </c>
      <c r="P25" s="13" t="s">
        <v>17</v>
      </c>
      <c r="Q25" s="22">
        <f t="shared" si="0"/>
        <v>380546</v>
      </c>
      <c r="R25" s="22">
        <f t="shared" si="1"/>
        <v>261.04800000000006</v>
      </c>
      <c r="S25" s="16">
        <f t="shared" si="2"/>
        <v>7.8834096272198364</v>
      </c>
      <c r="T25" s="2">
        <f t="shared" si="3"/>
        <v>382665</v>
      </c>
      <c r="U25" s="2">
        <f t="shared" si="4"/>
        <v>377139</v>
      </c>
      <c r="V25" s="2">
        <f t="shared" si="5"/>
        <v>377831</v>
      </c>
      <c r="W25" s="2">
        <f t="shared" si="6"/>
        <v>383772</v>
      </c>
      <c r="X25" s="2">
        <f t="shared" si="7"/>
        <v>381323</v>
      </c>
      <c r="Y25" s="2">
        <f t="shared" si="8"/>
        <v>265.17</v>
      </c>
      <c r="Z25" s="2">
        <f t="shared" si="9"/>
        <v>252.08</v>
      </c>
      <c r="AA25" s="2">
        <f t="shared" si="10"/>
        <v>272.19</v>
      </c>
      <c r="AB25" s="2">
        <f t="shared" si="11"/>
        <v>250.86</v>
      </c>
      <c r="AC25" s="2">
        <f t="shared" si="12"/>
        <v>264.94</v>
      </c>
      <c r="AD25" s="1">
        <f t="shared" si="13"/>
        <v>0</v>
      </c>
      <c r="AE25" s="1">
        <f t="shared" si="14"/>
        <v>2.3065906929925806</v>
      </c>
      <c r="AF25" s="13" t="s">
        <v>17</v>
      </c>
      <c r="AG25" s="2"/>
    </row>
    <row r="26" spans="1:33">
      <c r="N26" s="13" t="s">
        <v>46</v>
      </c>
      <c r="O26" s="13" t="s">
        <v>24</v>
      </c>
      <c r="P26" s="13" t="s">
        <v>23</v>
      </c>
      <c r="Q26" s="22">
        <f t="shared" si="0"/>
        <v>15542.779999999999</v>
      </c>
      <c r="R26" s="22">
        <f t="shared" si="1"/>
        <v>348.17</v>
      </c>
      <c r="S26" s="16">
        <f t="shared" si="2"/>
        <v>193.01566386450816</v>
      </c>
      <c r="T26" s="2">
        <f t="shared" si="3"/>
        <v>15583.4</v>
      </c>
      <c r="U26" s="2">
        <f t="shared" si="4"/>
        <v>15363.3</v>
      </c>
      <c r="V26" s="2">
        <f t="shared" si="5"/>
        <v>15428.8</v>
      </c>
      <c r="W26" s="2">
        <f t="shared" si="6"/>
        <v>15794.6</v>
      </c>
      <c r="X26" s="2">
        <f t="shared" si="7"/>
        <v>15543.8</v>
      </c>
      <c r="Y26" s="2">
        <f t="shared" si="8"/>
        <v>344.65</v>
      </c>
      <c r="Z26" s="2">
        <f t="shared" si="9"/>
        <v>368.54</v>
      </c>
      <c r="AA26" s="2">
        <f t="shared" si="10"/>
        <v>332.92</v>
      </c>
      <c r="AB26" s="2">
        <f t="shared" si="11"/>
        <v>365.16</v>
      </c>
      <c r="AC26" s="2">
        <f t="shared" si="12"/>
        <v>329.58</v>
      </c>
      <c r="AD26" s="1">
        <f t="shared" si="13"/>
        <v>1.0348167222418199</v>
      </c>
      <c r="AE26" s="1">
        <f t="shared" si="14"/>
        <v>4.4967661991702474</v>
      </c>
      <c r="AF26" s="13" t="s">
        <v>23</v>
      </c>
      <c r="AG26" s="2"/>
    </row>
    <row r="27" spans="1:33">
      <c r="A27" t="s">
        <v>45</v>
      </c>
      <c r="B27" t="s">
        <v>17</v>
      </c>
      <c r="C27" t="s">
        <v>23</v>
      </c>
      <c r="D27" t="s">
        <v>22</v>
      </c>
      <c r="E27" t="s">
        <v>21</v>
      </c>
      <c r="F27" t="s">
        <v>20</v>
      </c>
      <c r="G27" t="s">
        <v>19</v>
      </c>
      <c r="N27" s="13" t="s">
        <v>44</v>
      </c>
      <c r="O27" s="13" t="s">
        <v>24</v>
      </c>
      <c r="P27" s="13" t="s">
        <v>22</v>
      </c>
      <c r="Q27" s="22">
        <f t="shared" si="0"/>
        <v>14340.62</v>
      </c>
      <c r="R27" s="22">
        <f t="shared" si="1"/>
        <v>271.37399999999997</v>
      </c>
      <c r="S27" s="16">
        <f t="shared" si="2"/>
        <v>209.19597618513006</v>
      </c>
      <c r="T27" s="2">
        <f t="shared" si="3"/>
        <v>14293.3</v>
      </c>
      <c r="U27" s="2">
        <f t="shared" si="4"/>
        <v>14271.7</v>
      </c>
      <c r="V27" s="2">
        <f t="shared" si="5"/>
        <v>14321.3</v>
      </c>
      <c r="W27" s="2">
        <f t="shared" si="6"/>
        <v>14374.5</v>
      </c>
      <c r="X27" s="2">
        <f t="shared" si="7"/>
        <v>14442.3</v>
      </c>
      <c r="Y27" s="2">
        <f t="shared" si="8"/>
        <v>274.07</v>
      </c>
      <c r="Z27" s="2">
        <f t="shared" si="9"/>
        <v>288.69</v>
      </c>
      <c r="AA27" s="2">
        <f t="shared" si="10"/>
        <v>263.58999999999997</v>
      </c>
      <c r="AB27" s="2">
        <f t="shared" si="11"/>
        <v>263.76</v>
      </c>
      <c r="AC27" s="2">
        <f t="shared" si="12"/>
        <v>266.76</v>
      </c>
      <c r="AD27" s="1">
        <f t="shared" si="13"/>
        <v>0.3329439064972366</v>
      </c>
      <c r="AE27" s="1">
        <f t="shared" si="14"/>
        <v>2.6426931102570359</v>
      </c>
      <c r="AF27" s="13" t="s">
        <v>22</v>
      </c>
      <c r="AG27" s="2"/>
    </row>
    <row r="28" spans="1:33">
      <c r="A28" t="s">
        <v>28</v>
      </c>
      <c r="B28">
        <f t="shared" ref="B28:G33" si="17">B20/$B$35</f>
        <v>60.483000000000004</v>
      </c>
      <c r="C28">
        <f t="shared" si="17"/>
        <v>84.07050000000001</v>
      </c>
      <c r="D28">
        <f t="shared" si="17"/>
        <v>63.20150000000001</v>
      </c>
      <c r="E28">
        <f t="shared" si="17"/>
        <v>80.269499999999994</v>
      </c>
      <c r="F28">
        <f t="shared" si="17"/>
        <v>77.429999999999993</v>
      </c>
      <c r="G28">
        <f t="shared" si="17"/>
        <v>82.952500000000001</v>
      </c>
      <c r="N28" s="13"/>
      <c r="O28" s="13" t="s">
        <v>24</v>
      </c>
      <c r="P28" s="13" t="s">
        <v>21</v>
      </c>
      <c r="Q28" s="22">
        <f t="shared" si="0"/>
        <v>13965.26</v>
      </c>
      <c r="R28" s="22">
        <f t="shared" si="1"/>
        <v>273.14</v>
      </c>
      <c r="S28" s="16">
        <f t="shared" si="2"/>
        <v>214.81877172354828</v>
      </c>
      <c r="T28" s="2">
        <f t="shared" si="3"/>
        <v>14001.1</v>
      </c>
      <c r="U28" s="2">
        <f t="shared" si="4"/>
        <v>13896.7</v>
      </c>
      <c r="V28" s="2">
        <f t="shared" si="5"/>
        <v>13903.3</v>
      </c>
      <c r="W28" s="2">
        <f t="shared" si="6"/>
        <v>13969</v>
      </c>
      <c r="X28" s="2">
        <f t="shared" si="7"/>
        <v>14056.2</v>
      </c>
      <c r="Y28" s="2">
        <f t="shared" si="8"/>
        <v>283.73</v>
      </c>
      <c r="Z28" s="2">
        <f t="shared" si="9"/>
        <v>266.27</v>
      </c>
      <c r="AA28" s="2">
        <f t="shared" si="10"/>
        <v>267.02999999999997</v>
      </c>
      <c r="AB28" s="2">
        <f t="shared" si="11"/>
        <v>273.27</v>
      </c>
      <c r="AC28" s="2">
        <f t="shared" si="12"/>
        <v>275.39999999999998</v>
      </c>
      <c r="AD28" s="1">
        <f t="shared" si="13"/>
        <v>0.40580899840791818</v>
      </c>
      <c r="AE28" s="1">
        <f t="shared" si="14"/>
        <v>1.7757111251552189</v>
      </c>
      <c r="AF28" s="13" t="s">
        <v>21</v>
      </c>
      <c r="AG28" s="2"/>
    </row>
    <row r="29" spans="1:33">
      <c r="A29" t="s">
        <v>27</v>
      </c>
      <c r="B29">
        <f t="shared" si="17"/>
        <v>55.620000000000005</v>
      </c>
      <c r="C29">
        <f t="shared" si="17"/>
        <v>85.542999999999992</v>
      </c>
      <c r="D29">
        <f t="shared" si="17"/>
        <v>62.4</v>
      </c>
      <c r="E29">
        <f t="shared" si="17"/>
        <v>74.88</v>
      </c>
      <c r="F29">
        <f t="shared" si="17"/>
        <v>73.710000000000008</v>
      </c>
      <c r="G29">
        <f t="shared" si="17"/>
        <v>87.605500000000006</v>
      </c>
      <c r="N29" s="13"/>
      <c r="O29" s="13" t="s">
        <v>24</v>
      </c>
      <c r="P29" s="13" t="s">
        <v>20</v>
      </c>
      <c r="Q29" s="22">
        <f t="shared" si="0"/>
        <v>15457.039999999999</v>
      </c>
      <c r="R29" s="22">
        <f t="shared" si="1"/>
        <v>302.71800000000002</v>
      </c>
      <c r="S29" s="16">
        <f t="shared" si="2"/>
        <v>194.08631924352918</v>
      </c>
      <c r="T29" s="2">
        <f t="shared" si="3"/>
        <v>15351.7</v>
      </c>
      <c r="U29" s="2">
        <f t="shared" si="4"/>
        <v>15389.9</v>
      </c>
      <c r="V29" s="2">
        <f t="shared" si="5"/>
        <v>15342.1</v>
      </c>
      <c r="W29" s="2">
        <f t="shared" si="6"/>
        <v>15683.1</v>
      </c>
      <c r="X29" s="2">
        <f t="shared" si="7"/>
        <v>15518.4</v>
      </c>
      <c r="Y29" s="2">
        <f t="shared" si="8"/>
        <v>292.37</v>
      </c>
      <c r="Z29" s="2">
        <f t="shared" si="9"/>
        <v>327.58999999999997</v>
      </c>
      <c r="AA29" s="2">
        <f t="shared" si="10"/>
        <v>287.93</v>
      </c>
      <c r="AB29" s="2">
        <f t="shared" si="11"/>
        <v>305.35000000000002</v>
      </c>
      <c r="AC29" s="2">
        <f t="shared" si="12"/>
        <v>300.35000000000002</v>
      </c>
      <c r="AD29" s="1">
        <f t="shared" si="13"/>
        <v>0.78956988654272164</v>
      </c>
      <c r="AE29" s="1">
        <f t="shared" si="14"/>
        <v>3.8667599485874442</v>
      </c>
      <c r="AF29" s="13" t="s">
        <v>20</v>
      </c>
      <c r="AG29" s="2"/>
    </row>
    <row r="30" spans="1:33">
      <c r="A30" t="s">
        <v>26</v>
      </c>
      <c r="B30">
        <f t="shared" si="17"/>
        <v>50.777000000000001</v>
      </c>
      <c r="C30">
        <f t="shared" si="17"/>
        <v>91.030999999999992</v>
      </c>
      <c r="D30">
        <f t="shared" si="17"/>
        <v>61.753000000000007</v>
      </c>
      <c r="E30">
        <f t="shared" si="17"/>
        <v>71.726500000000001</v>
      </c>
      <c r="F30">
        <f t="shared" si="17"/>
        <v>71.885500000000008</v>
      </c>
      <c r="G30">
        <f t="shared" si="17"/>
        <v>87.72</v>
      </c>
      <c r="N30" s="13"/>
      <c r="O30" s="13" t="s">
        <v>24</v>
      </c>
      <c r="P30" s="13" t="s">
        <v>19</v>
      </c>
      <c r="Q30" s="22">
        <f t="shared" si="0"/>
        <v>15689.64</v>
      </c>
      <c r="R30" s="22">
        <f t="shared" si="1"/>
        <v>335.83600000000001</v>
      </c>
      <c r="S30" s="16">
        <f t="shared" si="2"/>
        <v>191.2089761141747</v>
      </c>
      <c r="T30" s="2">
        <f t="shared" si="3"/>
        <v>15566.6</v>
      </c>
      <c r="U30" s="2">
        <f t="shared" si="4"/>
        <v>15752</v>
      </c>
      <c r="V30" s="2">
        <f t="shared" si="5"/>
        <v>15570.1</v>
      </c>
      <c r="W30" s="2">
        <f t="shared" si="6"/>
        <v>15755.4</v>
      </c>
      <c r="X30" s="2">
        <f t="shared" si="7"/>
        <v>15804.1</v>
      </c>
      <c r="Y30" s="2">
        <f t="shared" si="8"/>
        <v>332.96</v>
      </c>
      <c r="Z30" s="2">
        <f t="shared" si="9"/>
        <v>324.8</v>
      </c>
      <c r="AA30" s="2">
        <f t="shared" si="10"/>
        <v>327.81</v>
      </c>
      <c r="AB30" s="2">
        <f t="shared" si="11"/>
        <v>331.69</v>
      </c>
      <c r="AC30" s="2">
        <f t="shared" si="12"/>
        <v>361.92</v>
      </c>
      <c r="AD30" s="1">
        <f t="shared" si="13"/>
        <v>0.66643774397977273</v>
      </c>
      <c r="AE30" s="1">
        <f t="shared" si="14"/>
        <v>3.7333918057176922</v>
      </c>
      <c r="AF30" s="13" t="s">
        <v>19</v>
      </c>
      <c r="AG30" s="2"/>
    </row>
    <row r="31" spans="1:33">
      <c r="A31" t="s">
        <v>25</v>
      </c>
      <c r="B31">
        <f t="shared" si="17"/>
        <v>65.262000000000015</v>
      </c>
      <c r="C31">
        <f t="shared" si="17"/>
        <v>86.792000000000002</v>
      </c>
      <c r="D31">
        <f t="shared" si="17"/>
        <v>68.208999999999989</v>
      </c>
      <c r="E31">
        <f t="shared" si="17"/>
        <v>79.350999999999999</v>
      </c>
      <c r="F31">
        <f t="shared" si="17"/>
        <v>81.075000000000003</v>
      </c>
      <c r="G31">
        <f t="shared" si="17"/>
        <v>87.152000000000001</v>
      </c>
      <c r="N31" s="18">
        <f>MAX(S26:S31)</f>
        <v>214.81877172354828</v>
      </c>
      <c r="O31" s="13" t="s">
        <v>24</v>
      </c>
      <c r="P31" s="13" t="s">
        <v>17</v>
      </c>
      <c r="Q31" s="22">
        <f t="shared" si="0"/>
        <v>14912.640000000003</v>
      </c>
      <c r="R31" s="22">
        <f t="shared" si="1"/>
        <v>250.88400000000001</v>
      </c>
      <c r="S31" s="16">
        <f t="shared" si="2"/>
        <v>201.17162353547053</v>
      </c>
      <c r="T31" s="2">
        <f t="shared" si="3"/>
        <v>14866</v>
      </c>
      <c r="U31" s="2">
        <f t="shared" si="4"/>
        <v>14818.9</v>
      </c>
      <c r="V31" s="2">
        <f t="shared" si="5"/>
        <v>14828.9</v>
      </c>
      <c r="W31" s="2">
        <f t="shared" si="6"/>
        <v>14952.3</v>
      </c>
      <c r="X31" s="2">
        <f t="shared" si="7"/>
        <v>15097.1</v>
      </c>
      <c r="Y31" s="2">
        <f t="shared" si="8"/>
        <v>256</v>
      </c>
      <c r="Z31" s="2">
        <f t="shared" si="9"/>
        <v>254.5</v>
      </c>
      <c r="AA31" s="2">
        <f t="shared" si="10"/>
        <v>250.5</v>
      </c>
      <c r="AB31" s="2">
        <f t="shared" si="11"/>
        <v>239.86</v>
      </c>
      <c r="AC31" s="2">
        <f t="shared" si="12"/>
        <v>253.56</v>
      </c>
      <c r="AD31" s="1">
        <f t="shared" si="13"/>
        <v>0</v>
      </c>
      <c r="AE31" s="1">
        <f t="shared" si="14"/>
        <v>1.6205994261383643</v>
      </c>
      <c r="AF31" s="13" t="s">
        <v>17</v>
      </c>
      <c r="AG31" s="2"/>
    </row>
    <row r="32" spans="1:33">
      <c r="A32" t="s">
        <v>24</v>
      </c>
      <c r="B32">
        <f t="shared" si="17"/>
        <v>62.721000000000004</v>
      </c>
      <c r="C32">
        <f t="shared" si="17"/>
        <v>87.042500000000004</v>
      </c>
      <c r="D32">
        <f t="shared" si="17"/>
        <v>67.843499999999992</v>
      </c>
      <c r="E32">
        <f t="shared" si="17"/>
        <v>68.284999999999997</v>
      </c>
      <c r="F32">
        <f t="shared" si="17"/>
        <v>75.679500000000004</v>
      </c>
      <c r="G32">
        <f t="shared" si="17"/>
        <v>83.959000000000003</v>
      </c>
      <c r="N32" s="13" t="s">
        <v>43</v>
      </c>
      <c r="O32" s="13" t="s">
        <v>18</v>
      </c>
      <c r="P32" s="13" t="s">
        <v>23</v>
      </c>
      <c r="Q32" s="22">
        <f t="shared" si="0"/>
        <v>126729.8</v>
      </c>
      <c r="R32" s="22">
        <f t="shared" si="1"/>
        <v>332.08000000000004</v>
      </c>
      <c r="S32" s="16">
        <f t="shared" si="2"/>
        <v>23.672411697958964</v>
      </c>
      <c r="T32" s="2">
        <f t="shared" si="3"/>
        <v>126516</v>
      </c>
      <c r="U32" s="2">
        <f t="shared" si="4"/>
        <v>126827</v>
      </c>
      <c r="V32" s="2">
        <f t="shared" si="5"/>
        <v>126107</v>
      </c>
      <c r="W32" s="2">
        <f t="shared" si="6"/>
        <v>127168</v>
      </c>
      <c r="X32" s="2">
        <f t="shared" si="7"/>
        <v>127031</v>
      </c>
      <c r="Y32" s="2">
        <f t="shared" si="8"/>
        <v>329.9</v>
      </c>
      <c r="Z32" s="2">
        <f t="shared" si="9"/>
        <v>329.8</v>
      </c>
      <c r="AA32" s="2">
        <f t="shared" si="10"/>
        <v>337.82</v>
      </c>
      <c r="AB32" s="2">
        <f t="shared" si="11"/>
        <v>329.88</v>
      </c>
      <c r="AC32" s="2">
        <f t="shared" si="12"/>
        <v>333</v>
      </c>
      <c r="AD32" s="1">
        <f t="shared" si="13"/>
        <v>0.84913631007256773</v>
      </c>
      <c r="AE32" s="1">
        <f t="shared" si="14"/>
        <v>0.87128497060376286</v>
      </c>
      <c r="AF32" s="13" t="s">
        <v>23</v>
      </c>
      <c r="AG32" s="2"/>
    </row>
    <row r="33" spans="1:33">
      <c r="A33" t="s">
        <v>18</v>
      </c>
      <c r="B33">
        <f t="shared" si="17"/>
        <v>64.551000000000016</v>
      </c>
      <c r="C33">
        <f t="shared" si="17"/>
        <v>83.02000000000001</v>
      </c>
      <c r="D33">
        <f t="shared" si="17"/>
        <v>65.357499999999987</v>
      </c>
      <c r="E33">
        <f t="shared" si="17"/>
        <v>82.878</v>
      </c>
      <c r="F33">
        <f t="shared" si="17"/>
        <v>80.464500000000015</v>
      </c>
      <c r="G33">
        <f t="shared" si="17"/>
        <v>84.171499999999995</v>
      </c>
      <c r="N33" s="13" t="s">
        <v>42</v>
      </c>
      <c r="O33" s="13" t="s">
        <v>18</v>
      </c>
      <c r="P33" s="13" t="s">
        <v>22</v>
      </c>
      <c r="Q33" s="22">
        <f t="shared" si="0"/>
        <v>110428</v>
      </c>
      <c r="R33" s="22">
        <f t="shared" si="1"/>
        <v>261.42999999999995</v>
      </c>
      <c r="S33" s="16">
        <f t="shared" si="2"/>
        <v>27.167022856521896</v>
      </c>
      <c r="T33" s="2">
        <f t="shared" si="3"/>
        <v>110068</v>
      </c>
      <c r="U33" s="2">
        <f t="shared" si="4"/>
        <v>111144</v>
      </c>
      <c r="V33" s="2">
        <f t="shared" si="5"/>
        <v>111606</v>
      </c>
      <c r="W33" s="2">
        <f t="shared" si="6"/>
        <v>109887</v>
      </c>
      <c r="X33" s="2">
        <f t="shared" si="7"/>
        <v>109435</v>
      </c>
      <c r="Y33" s="2">
        <f t="shared" si="8"/>
        <v>261.81</v>
      </c>
      <c r="Z33" s="2">
        <f t="shared" si="9"/>
        <v>263.33999999999997</v>
      </c>
      <c r="AA33" s="2">
        <f t="shared" si="10"/>
        <v>262.14999999999998</v>
      </c>
      <c r="AB33" s="2">
        <f t="shared" si="11"/>
        <v>259.29000000000002</v>
      </c>
      <c r="AC33" s="2">
        <f t="shared" si="12"/>
        <v>260.56</v>
      </c>
      <c r="AD33" s="1">
        <f t="shared" si="13"/>
        <v>0.55056314177643317</v>
      </c>
      <c r="AE33" s="1">
        <f t="shared" si="14"/>
        <v>0.38825330005036218</v>
      </c>
      <c r="AF33" s="13" t="s">
        <v>22</v>
      </c>
      <c r="AG33" s="2"/>
    </row>
    <row r="34" spans="1:33">
      <c r="A34" t="s">
        <v>41</v>
      </c>
      <c r="B34" s="12">
        <f t="shared" ref="B34:G34" si="18">AVERAGE(B28:B33)</f>
        <v>59.902333333333331</v>
      </c>
      <c r="C34" s="12">
        <f t="shared" si="18"/>
        <v>86.249833333333342</v>
      </c>
      <c r="D34" s="12">
        <f t="shared" si="18"/>
        <v>64.794083333333333</v>
      </c>
      <c r="E34" s="12">
        <f t="shared" si="18"/>
        <v>76.231666666666655</v>
      </c>
      <c r="F34" s="12">
        <f t="shared" si="18"/>
        <v>76.707416666666674</v>
      </c>
      <c r="G34" s="12">
        <f t="shared" si="18"/>
        <v>85.59341666666667</v>
      </c>
      <c r="N34" s="13"/>
      <c r="O34" s="13" t="s">
        <v>18</v>
      </c>
      <c r="P34" s="13" t="s">
        <v>21</v>
      </c>
      <c r="Q34" s="22">
        <f t="shared" si="0"/>
        <v>120537.2</v>
      </c>
      <c r="R34" s="22">
        <f t="shared" si="1"/>
        <v>331.512</v>
      </c>
      <c r="S34" s="16">
        <f t="shared" si="2"/>
        <v>24.888582114069351</v>
      </c>
      <c r="T34" s="2">
        <f t="shared" si="3"/>
        <v>120809</v>
      </c>
      <c r="U34" s="2">
        <f t="shared" si="4"/>
        <v>119929</v>
      </c>
      <c r="V34" s="2">
        <f t="shared" si="5"/>
        <v>121808</v>
      </c>
      <c r="W34" s="2">
        <f t="shared" si="6"/>
        <v>121386</v>
      </c>
      <c r="X34" s="2">
        <f t="shared" si="7"/>
        <v>118754</v>
      </c>
      <c r="Y34" s="2">
        <f t="shared" si="8"/>
        <v>332.09</v>
      </c>
      <c r="Z34" s="2">
        <f t="shared" si="9"/>
        <v>337.65</v>
      </c>
      <c r="AA34" s="2">
        <f t="shared" si="10"/>
        <v>340.26</v>
      </c>
      <c r="AB34" s="2">
        <f t="shared" si="11"/>
        <v>319.95</v>
      </c>
      <c r="AC34" s="2">
        <f t="shared" si="12"/>
        <v>327.61</v>
      </c>
      <c r="AD34" s="1">
        <f t="shared" si="13"/>
        <v>1.0300852248332217</v>
      </c>
      <c r="AE34" s="1">
        <f t="shared" si="14"/>
        <v>2.0288623659578278</v>
      </c>
      <c r="AF34" s="13" t="s">
        <v>21</v>
      </c>
    </row>
    <row r="35" spans="1:33">
      <c r="A35" t="s">
        <v>40</v>
      </c>
      <c r="B35">
        <v>4</v>
      </c>
      <c r="N35" s="13"/>
      <c r="O35" s="13" t="s">
        <v>18</v>
      </c>
      <c r="P35" s="13" t="s">
        <v>20</v>
      </c>
      <c r="Q35" s="22">
        <f t="shared" si="0"/>
        <v>127296.6</v>
      </c>
      <c r="R35" s="22">
        <f t="shared" si="1"/>
        <v>321.85800000000006</v>
      </c>
      <c r="S35" s="16">
        <f t="shared" si="2"/>
        <v>23.567008074056965</v>
      </c>
      <c r="T35" s="2">
        <f t="shared" si="3"/>
        <v>127631</v>
      </c>
      <c r="U35" s="2">
        <f t="shared" si="4"/>
        <v>127488</v>
      </c>
      <c r="V35" s="2">
        <f t="shared" si="5"/>
        <v>126879</v>
      </c>
      <c r="W35" s="2">
        <f t="shared" si="6"/>
        <v>127909</v>
      </c>
      <c r="X35" s="2">
        <f t="shared" si="7"/>
        <v>126576</v>
      </c>
      <c r="Y35" s="2">
        <f t="shared" si="8"/>
        <v>328.2</v>
      </c>
      <c r="Z35" s="2">
        <f t="shared" si="9"/>
        <v>328.52</v>
      </c>
      <c r="AA35" s="2">
        <f t="shared" si="10"/>
        <v>315.12</v>
      </c>
      <c r="AB35" s="2">
        <f t="shared" si="11"/>
        <v>306.77</v>
      </c>
      <c r="AC35" s="2">
        <f t="shared" si="12"/>
        <v>330.68</v>
      </c>
      <c r="AD35" s="1">
        <f t="shared" si="13"/>
        <v>0.73408782860619715</v>
      </c>
      <c r="AE35" s="1">
        <f t="shared" si="14"/>
        <v>2.6085175387564492</v>
      </c>
      <c r="AF35" s="13" t="s">
        <v>20</v>
      </c>
    </row>
    <row r="36" spans="1:33">
      <c r="N36" s="13"/>
      <c r="O36" s="13" t="s">
        <v>18</v>
      </c>
      <c r="P36" s="13" t="s">
        <v>19</v>
      </c>
      <c r="Q36" s="22">
        <f t="shared" si="0"/>
        <v>130842</v>
      </c>
      <c r="R36" s="22">
        <f t="shared" si="1"/>
        <v>336.68599999999998</v>
      </c>
      <c r="S36" s="16">
        <f t="shared" si="2"/>
        <v>22.928417480625487</v>
      </c>
      <c r="T36" s="2">
        <f t="shared" si="3"/>
        <v>131127</v>
      </c>
      <c r="U36" s="2">
        <f t="shared" si="4"/>
        <v>130273</v>
      </c>
      <c r="V36" s="2">
        <f t="shared" si="5"/>
        <v>131150</v>
      </c>
      <c r="W36" s="2">
        <f t="shared" si="6"/>
        <v>130253</v>
      </c>
      <c r="X36" s="2">
        <f t="shared" si="7"/>
        <v>131407</v>
      </c>
      <c r="Y36" s="2">
        <f t="shared" si="8"/>
        <v>342.21</v>
      </c>
      <c r="Z36" s="2">
        <f t="shared" si="9"/>
        <v>324.33</v>
      </c>
      <c r="AA36" s="2">
        <f t="shared" si="10"/>
        <v>330</v>
      </c>
      <c r="AB36" s="2">
        <f t="shared" si="11"/>
        <v>351.51</v>
      </c>
      <c r="AC36" s="2">
        <f t="shared" si="12"/>
        <v>335.38</v>
      </c>
      <c r="AD36" s="1">
        <f t="shared" si="13"/>
        <v>0.62850028466323415</v>
      </c>
      <c r="AE36" s="1">
        <f t="shared" si="14"/>
        <v>2.6497184991994902</v>
      </c>
      <c r="AF36" s="13" t="s">
        <v>19</v>
      </c>
    </row>
    <row r="37" spans="1:33">
      <c r="N37" s="18">
        <f>MAX(S32:S37)</f>
        <v>27.167022856521896</v>
      </c>
      <c r="O37" s="13" t="s">
        <v>18</v>
      </c>
      <c r="P37" s="13" t="s">
        <v>17</v>
      </c>
      <c r="Q37" s="22">
        <f t="shared" si="0"/>
        <v>121820</v>
      </c>
      <c r="R37" s="22">
        <f t="shared" si="1"/>
        <v>258.20400000000006</v>
      </c>
      <c r="S37" s="16">
        <f t="shared" si="2"/>
        <v>24.626498111968477</v>
      </c>
      <c r="T37" s="2">
        <f t="shared" si="3"/>
        <v>122350</v>
      </c>
      <c r="U37" s="2">
        <f t="shared" si="4"/>
        <v>122189</v>
      </c>
      <c r="V37" s="2">
        <f t="shared" si="5"/>
        <v>122265</v>
      </c>
      <c r="W37" s="2">
        <f t="shared" si="6"/>
        <v>120966</v>
      </c>
      <c r="X37" s="2">
        <f t="shared" si="7"/>
        <v>121330</v>
      </c>
      <c r="Y37" s="2">
        <f t="shared" si="8"/>
        <v>265.67</v>
      </c>
      <c r="Z37" s="2">
        <f t="shared" si="9"/>
        <v>265.47000000000003</v>
      </c>
      <c r="AA37" s="2">
        <f t="shared" si="10"/>
        <v>262.52999999999997</v>
      </c>
      <c r="AB37" s="2">
        <f t="shared" si="11"/>
        <v>253.95</v>
      </c>
      <c r="AC37" s="2">
        <f t="shared" si="12"/>
        <v>243.4</v>
      </c>
      <c r="AD37" s="1">
        <f t="shared" si="13"/>
        <v>0</v>
      </c>
      <c r="AE37" s="1">
        <f t="shared" si="14"/>
        <v>2.3865021474953685</v>
      </c>
      <c r="AF37" s="13" t="s">
        <v>17</v>
      </c>
    </row>
    <row r="38" spans="1:33">
      <c r="S38" s="2"/>
    </row>
    <row r="39" spans="1:33">
      <c r="A39" s="17" t="s">
        <v>39</v>
      </c>
      <c r="C39" t="s">
        <v>38</v>
      </c>
      <c r="D39" t="s">
        <v>37</v>
      </c>
      <c r="E39" t="s">
        <v>36</v>
      </c>
      <c r="F39" t="s">
        <v>35</v>
      </c>
      <c r="G39" t="s">
        <v>34</v>
      </c>
      <c r="L39" s="5"/>
      <c r="M39" s="5"/>
      <c r="N39" s="5"/>
      <c r="O39" s="2"/>
      <c r="P39" s="2"/>
      <c r="S39" s="2"/>
    </row>
    <row r="40" spans="1:33">
      <c r="A40" s="13" t="s">
        <v>28</v>
      </c>
      <c r="B40" s="13" t="s">
        <v>23</v>
      </c>
      <c r="C40" s="11">
        <v>138354</v>
      </c>
      <c r="D40" s="11">
        <v>139022</v>
      </c>
      <c r="E40" s="11">
        <v>137472</v>
      </c>
      <c r="F40" s="11">
        <v>139592</v>
      </c>
      <c r="G40" s="11">
        <v>139338</v>
      </c>
      <c r="H40" s="20" t="s">
        <v>33</v>
      </c>
      <c r="L40" s="5"/>
      <c r="M40" s="5"/>
      <c r="N40" s="5"/>
      <c r="O40" s="2"/>
      <c r="P40" s="2"/>
      <c r="R40" s="13"/>
      <c r="S40" s="16" t="s">
        <v>32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33">
      <c r="A41" s="13" t="s">
        <v>28</v>
      </c>
      <c r="B41" s="13" t="s">
        <v>31</v>
      </c>
      <c r="C41" s="11">
        <v>120250</v>
      </c>
      <c r="D41" s="11">
        <v>119170</v>
      </c>
      <c r="E41" s="11">
        <v>119390</v>
      </c>
      <c r="F41" s="11">
        <v>118737</v>
      </c>
      <c r="G41" s="11">
        <v>119467</v>
      </c>
      <c r="H41" s="20"/>
      <c r="L41" s="5"/>
      <c r="M41" s="5"/>
      <c r="N41" s="5"/>
      <c r="O41" s="2"/>
      <c r="P41" s="2"/>
      <c r="R41" s="13" t="s">
        <v>28</v>
      </c>
      <c r="S41" s="13" t="s">
        <v>23</v>
      </c>
      <c r="T41" s="14">
        <f t="shared" ref="T41:X46" si="19">T2/T$7*100</f>
        <v>104.19399781601837</v>
      </c>
      <c r="U41" s="14">
        <f t="shared" si="19"/>
        <v>105.10073710073711</v>
      </c>
      <c r="V41" s="14">
        <f t="shared" si="19"/>
        <v>103.60623120576997</v>
      </c>
      <c r="W41" s="14">
        <f t="shared" si="19"/>
        <v>105.10891745164035</v>
      </c>
      <c r="X41" s="14">
        <f t="shared" si="19"/>
        <v>103.99444718104877</v>
      </c>
      <c r="Y41" s="14">
        <f t="shared" ref="Y41:AC50" si="20">Y2/$B$35</f>
        <v>82.444999999999993</v>
      </c>
      <c r="Z41" s="14">
        <f t="shared" si="20"/>
        <v>84.86</v>
      </c>
      <c r="AA41" s="14">
        <f t="shared" si="20"/>
        <v>89.555000000000007</v>
      </c>
      <c r="AB41" s="14">
        <f t="shared" si="20"/>
        <v>83.18</v>
      </c>
      <c r="AC41" s="14">
        <f t="shared" si="20"/>
        <v>80.3125</v>
      </c>
    </row>
    <row r="42" spans="1:33">
      <c r="A42" s="13" t="s">
        <v>28</v>
      </c>
      <c r="B42" s="13" t="s">
        <v>21</v>
      </c>
      <c r="C42" s="11">
        <v>133400</v>
      </c>
      <c r="D42" s="11">
        <v>131513</v>
      </c>
      <c r="E42" s="11">
        <v>129971</v>
      </c>
      <c r="F42" s="11">
        <v>134492</v>
      </c>
      <c r="G42" s="11">
        <v>130867</v>
      </c>
      <c r="H42" s="20"/>
      <c r="L42" s="5"/>
      <c r="M42" s="5"/>
      <c r="N42" s="5"/>
      <c r="O42" s="2"/>
      <c r="P42" s="2"/>
      <c r="R42" s="13" t="s">
        <v>28</v>
      </c>
      <c r="S42" s="13" t="s">
        <v>22</v>
      </c>
      <c r="T42" s="14">
        <f t="shared" si="19"/>
        <v>90.559927702677257</v>
      </c>
      <c r="U42" s="14">
        <f t="shared" si="19"/>
        <v>90.092610092610087</v>
      </c>
      <c r="V42" s="14">
        <f t="shared" si="19"/>
        <v>89.978671610632546</v>
      </c>
      <c r="W42" s="14">
        <f t="shared" si="19"/>
        <v>89.405678917526942</v>
      </c>
      <c r="X42" s="14">
        <f t="shared" si="19"/>
        <v>89.163793232128725</v>
      </c>
      <c r="Y42" s="14">
        <f t="shared" si="20"/>
        <v>61.592500000000001</v>
      </c>
      <c r="Z42" s="14">
        <f t="shared" si="20"/>
        <v>66.95</v>
      </c>
      <c r="AA42" s="14">
        <f t="shared" si="20"/>
        <v>61.897500000000001</v>
      </c>
      <c r="AB42" s="14">
        <f t="shared" si="20"/>
        <v>63.59</v>
      </c>
      <c r="AC42" s="14">
        <f t="shared" si="20"/>
        <v>61.977499999999999</v>
      </c>
    </row>
    <row r="43" spans="1:33">
      <c r="A43" s="13" t="s">
        <v>28</v>
      </c>
      <c r="B43" s="13" t="s">
        <v>20</v>
      </c>
      <c r="C43" s="11">
        <v>138781</v>
      </c>
      <c r="D43" s="11">
        <v>138842</v>
      </c>
      <c r="E43" s="11">
        <v>138978</v>
      </c>
      <c r="F43" s="11">
        <v>138172</v>
      </c>
      <c r="G43" s="11">
        <v>139272</v>
      </c>
      <c r="H43" s="20"/>
      <c r="L43" s="5"/>
      <c r="M43" s="5"/>
      <c r="N43" s="5"/>
      <c r="O43" s="2"/>
      <c r="P43" s="2"/>
      <c r="R43" s="13" t="s">
        <v>28</v>
      </c>
      <c r="S43" s="13" t="s">
        <v>21</v>
      </c>
      <c r="T43" s="14">
        <f t="shared" si="19"/>
        <v>100.46315472380162</v>
      </c>
      <c r="U43" s="14">
        <f t="shared" si="19"/>
        <v>99.423927423927424</v>
      </c>
      <c r="V43" s="14">
        <f t="shared" si="19"/>
        <v>97.953077543391586</v>
      </c>
      <c r="W43" s="14">
        <f t="shared" si="19"/>
        <v>101.26875842387825</v>
      </c>
      <c r="X43" s="14">
        <f t="shared" si="19"/>
        <v>97.672144850954581</v>
      </c>
      <c r="Y43" s="14">
        <f t="shared" si="20"/>
        <v>80.814999999999998</v>
      </c>
      <c r="Z43" s="14">
        <f t="shared" si="20"/>
        <v>79.135000000000005</v>
      </c>
      <c r="AA43" s="14">
        <f t="shared" si="20"/>
        <v>80.97</v>
      </c>
      <c r="AB43" s="14">
        <f t="shared" si="20"/>
        <v>84.98</v>
      </c>
      <c r="AC43" s="14">
        <f t="shared" si="20"/>
        <v>75.447500000000005</v>
      </c>
    </row>
    <row r="44" spans="1:33">
      <c r="A44" s="13" t="s">
        <v>28</v>
      </c>
      <c r="B44" s="13" t="s">
        <v>19</v>
      </c>
      <c r="C44" s="11">
        <v>142955</v>
      </c>
      <c r="D44" s="11">
        <v>141620</v>
      </c>
      <c r="E44" s="11">
        <v>142489</v>
      </c>
      <c r="F44" s="11">
        <v>142637</v>
      </c>
      <c r="G44" s="11">
        <v>142665</v>
      </c>
      <c r="H44" s="20"/>
      <c r="L44" s="5"/>
      <c r="M44" s="5"/>
      <c r="N44" s="5"/>
      <c r="O44" s="2"/>
      <c r="P44" s="2"/>
      <c r="R44" s="13" t="s">
        <v>28</v>
      </c>
      <c r="S44" s="13" t="s">
        <v>20</v>
      </c>
      <c r="T44" s="14">
        <f t="shared" si="19"/>
        <v>104.51557028278798</v>
      </c>
      <c r="U44" s="14">
        <f t="shared" si="19"/>
        <v>104.96465696465695</v>
      </c>
      <c r="V44" s="14">
        <f t="shared" si="19"/>
        <v>104.74123312758596</v>
      </c>
      <c r="W44" s="14">
        <f t="shared" si="19"/>
        <v>104.03969670273405</v>
      </c>
      <c r="X44" s="14">
        <f t="shared" si="19"/>
        <v>103.94518830325556</v>
      </c>
      <c r="Y44" s="14">
        <f t="shared" si="20"/>
        <v>79.642499999999998</v>
      </c>
      <c r="Z44" s="14">
        <f t="shared" si="20"/>
        <v>78.135000000000005</v>
      </c>
      <c r="AA44" s="14">
        <f t="shared" si="20"/>
        <v>75.797499999999999</v>
      </c>
      <c r="AB44" s="14">
        <f t="shared" si="20"/>
        <v>75.622500000000002</v>
      </c>
      <c r="AC44" s="14">
        <f t="shared" si="20"/>
        <v>77.952500000000001</v>
      </c>
    </row>
    <row r="45" spans="1:33">
      <c r="A45" s="13" t="s">
        <v>28</v>
      </c>
      <c r="B45" s="13" t="s">
        <v>17</v>
      </c>
      <c r="C45" s="11">
        <v>132785</v>
      </c>
      <c r="D45" s="11">
        <v>132275</v>
      </c>
      <c r="E45" s="11">
        <v>132687</v>
      </c>
      <c r="F45" s="11">
        <v>132807</v>
      </c>
      <c r="G45" s="11">
        <v>133986</v>
      </c>
      <c r="H45" s="20"/>
      <c r="L45" s="5"/>
      <c r="M45" s="5"/>
      <c r="N45" s="5"/>
      <c r="O45" s="2"/>
      <c r="P45" s="2"/>
      <c r="R45" s="13" t="s">
        <v>28</v>
      </c>
      <c r="S45" s="13" t="s">
        <v>19</v>
      </c>
      <c r="T45" s="14">
        <f t="shared" si="19"/>
        <v>107.65899762774409</v>
      </c>
      <c r="U45" s="14">
        <f t="shared" si="19"/>
        <v>107.06482706482707</v>
      </c>
      <c r="V45" s="14">
        <f t="shared" si="19"/>
        <v>107.38730998515302</v>
      </c>
      <c r="W45" s="14">
        <f t="shared" si="19"/>
        <v>107.40171828292185</v>
      </c>
      <c r="X45" s="14">
        <f t="shared" si="19"/>
        <v>106.47754242980609</v>
      </c>
      <c r="Y45" s="14">
        <f t="shared" si="20"/>
        <v>83.707499999999996</v>
      </c>
      <c r="Z45" s="14">
        <f t="shared" si="20"/>
        <v>80.265000000000001</v>
      </c>
      <c r="AA45" s="14">
        <f t="shared" si="20"/>
        <v>87.952500000000001</v>
      </c>
      <c r="AB45" s="14">
        <f t="shared" si="20"/>
        <v>80.465000000000003</v>
      </c>
      <c r="AC45" s="14">
        <f t="shared" si="20"/>
        <v>82.372500000000002</v>
      </c>
    </row>
    <row r="46" spans="1:33">
      <c r="A46" s="13" t="s">
        <v>27</v>
      </c>
      <c r="B46" s="13" t="s">
        <v>23</v>
      </c>
      <c r="C46" s="11">
        <v>223639</v>
      </c>
      <c r="D46" s="11">
        <v>223388</v>
      </c>
      <c r="E46" s="11">
        <v>222142</v>
      </c>
      <c r="F46" s="11">
        <v>221233</v>
      </c>
      <c r="G46" s="11">
        <v>222561</v>
      </c>
      <c r="H46" s="20"/>
      <c r="L46" s="5"/>
      <c r="M46" s="5"/>
      <c r="N46" s="5"/>
      <c r="O46" s="2"/>
      <c r="P46" s="2"/>
      <c r="R46" s="13" t="s">
        <v>28</v>
      </c>
      <c r="S46" s="13" t="s">
        <v>17</v>
      </c>
      <c r="T46" s="14">
        <f t="shared" si="19"/>
        <v>100</v>
      </c>
      <c r="U46" s="14">
        <f t="shared" si="19"/>
        <v>100</v>
      </c>
      <c r="V46" s="14">
        <f t="shared" si="19"/>
        <v>100</v>
      </c>
      <c r="W46" s="14">
        <f t="shared" si="19"/>
        <v>100</v>
      </c>
      <c r="X46" s="14">
        <f t="shared" si="19"/>
        <v>100</v>
      </c>
      <c r="Y46" s="14">
        <f t="shared" si="20"/>
        <v>58.147500000000001</v>
      </c>
      <c r="Z46" s="14">
        <f t="shared" si="20"/>
        <v>60.557499999999997</v>
      </c>
      <c r="AA46" s="14">
        <f t="shared" si="20"/>
        <v>64.532499999999999</v>
      </c>
      <c r="AB46" s="14">
        <f t="shared" si="20"/>
        <v>58.594999999999999</v>
      </c>
      <c r="AC46" s="14">
        <f t="shared" si="20"/>
        <v>60.582500000000003</v>
      </c>
    </row>
    <row r="47" spans="1:33">
      <c r="A47" s="13" t="s">
        <v>27</v>
      </c>
      <c r="B47" s="13" t="s">
        <v>31</v>
      </c>
      <c r="C47" s="11">
        <v>189904</v>
      </c>
      <c r="D47" s="11">
        <v>188949</v>
      </c>
      <c r="E47" s="11">
        <v>191253</v>
      </c>
      <c r="F47" s="11">
        <v>187670</v>
      </c>
      <c r="G47" s="11">
        <v>188376</v>
      </c>
      <c r="H47" s="20"/>
      <c r="L47" s="5"/>
      <c r="M47" s="5"/>
      <c r="N47" s="5"/>
      <c r="O47" s="2"/>
      <c r="P47" s="2"/>
      <c r="R47" s="13" t="s">
        <v>27</v>
      </c>
      <c r="S47" s="13" t="s">
        <v>23</v>
      </c>
      <c r="T47" s="14">
        <f t="shared" ref="T47:X52" si="21">T8/T$13*100</f>
        <v>113.75851386889534</v>
      </c>
      <c r="U47" s="14">
        <f t="shared" si="21"/>
        <v>111.32495776500899</v>
      </c>
      <c r="V47" s="14">
        <f t="shared" si="21"/>
        <v>111.14101884187038</v>
      </c>
      <c r="W47" s="14">
        <f t="shared" si="21"/>
        <v>111.48552970404302</v>
      </c>
      <c r="X47" s="14">
        <f t="shared" si="21"/>
        <v>113.31103372434018</v>
      </c>
      <c r="Y47" s="14">
        <f t="shared" si="20"/>
        <v>81.6875</v>
      </c>
      <c r="Z47" s="14">
        <f t="shared" si="20"/>
        <v>88.6</v>
      </c>
      <c r="AA47" s="14">
        <f t="shared" si="20"/>
        <v>82.662499999999994</v>
      </c>
      <c r="AB47" s="14">
        <f t="shared" si="20"/>
        <v>85.94</v>
      </c>
      <c r="AC47" s="14">
        <f t="shared" si="20"/>
        <v>88.825000000000003</v>
      </c>
    </row>
    <row r="48" spans="1:33">
      <c r="A48" s="13" t="s">
        <v>27</v>
      </c>
      <c r="B48" s="13" t="s">
        <v>21</v>
      </c>
      <c r="C48" s="11">
        <v>197933</v>
      </c>
      <c r="D48" s="11">
        <v>195177</v>
      </c>
      <c r="E48" s="11">
        <v>195952</v>
      </c>
      <c r="F48" s="11">
        <v>193936</v>
      </c>
      <c r="G48" s="11">
        <v>192543</v>
      </c>
      <c r="H48" s="20"/>
      <c r="L48" s="5"/>
      <c r="M48" s="5"/>
      <c r="N48" s="5"/>
      <c r="O48" s="2"/>
      <c r="P48" s="2"/>
      <c r="R48" s="13" t="s">
        <v>27</v>
      </c>
      <c r="S48" s="13" t="s">
        <v>22</v>
      </c>
      <c r="T48" s="14">
        <f t="shared" si="21"/>
        <v>96.598521804151773</v>
      </c>
      <c r="U48" s="14">
        <f t="shared" si="21"/>
        <v>94.162351803770505</v>
      </c>
      <c r="V48" s="14">
        <f t="shared" si="21"/>
        <v>95.686782673084053</v>
      </c>
      <c r="W48" s="14">
        <f t="shared" si="21"/>
        <v>94.572190222786617</v>
      </c>
      <c r="X48" s="14">
        <f t="shared" si="21"/>
        <v>95.906647116324535</v>
      </c>
      <c r="Y48" s="14">
        <f t="shared" si="20"/>
        <v>61.354999999999997</v>
      </c>
      <c r="Z48" s="14">
        <f t="shared" si="20"/>
        <v>65.394999999999996</v>
      </c>
      <c r="AA48" s="14">
        <f t="shared" si="20"/>
        <v>61.375</v>
      </c>
      <c r="AB48" s="14">
        <f t="shared" si="20"/>
        <v>57.75</v>
      </c>
      <c r="AC48" s="14">
        <f t="shared" si="20"/>
        <v>66.125</v>
      </c>
    </row>
    <row r="49" spans="1:29">
      <c r="A49" s="13" t="s">
        <v>27</v>
      </c>
      <c r="B49" s="13" t="s">
        <v>20</v>
      </c>
      <c r="C49" s="11">
        <v>214153</v>
      </c>
      <c r="D49" s="11">
        <v>211037</v>
      </c>
      <c r="E49" s="11">
        <v>212213</v>
      </c>
      <c r="F49" s="11">
        <v>211904</v>
      </c>
      <c r="G49" s="11">
        <v>212459</v>
      </c>
      <c r="H49" s="20"/>
      <c r="L49" s="5"/>
      <c r="M49" s="5"/>
      <c r="N49" s="5"/>
      <c r="O49" s="2"/>
      <c r="P49" s="2"/>
      <c r="R49" s="13" t="s">
        <v>27</v>
      </c>
      <c r="S49" s="13" t="s">
        <v>21</v>
      </c>
      <c r="T49" s="14">
        <f t="shared" si="21"/>
        <v>100.68263552248069</v>
      </c>
      <c r="U49" s="14">
        <f t="shared" si="21"/>
        <v>97.266063001151181</v>
      </c>
      <c r="V49" s="14">
        <f t="shared" si="21"/>
        <v>98.037763791188453</v>
      </c>
      <c r="W49" s="14">
        <f t="shared" si="21"/>
        <v>97.729803820783005</v>
      </c>
      <c r="X49" s="14">
        <f t="shared" si="21"/>
        <v>98.028164711632442</v>
      </c>
      <c r="Y49" s="14">
        <f t="shared" si="20"/>
        <v>72.75</v>
      </c>
      <c r="Z49" s="14">
        <f t="shared" si="20"/>
        <v>80.19</v>
      </c>
      <c r="AA49" s="14">
        <f t="shared" si="20"/>
        <v>70.430000000000007</v>
      </c>
      <c r="AB49" s="14">
        <f t="shared" si="20"/>
        <v>78.959999999999994</v>
      </c>
      <c r="AC49" s="14">
        <f t="shared" si="20"/>
        <v>72.069999999999993</v>
      </c>
    </row>
    <row r="50" spans="1:29">
      <c r="A50" s="13" t="s">
        <v>27</v>
      </c>
      <c r="B50" s="13" t="s">
        <v>19</v>
      </c>
      <c r="C50" s="11">
        <v>222485</v>
      </c>
      <c r="D50" s="11">
        <v>223436</v>
      </c>
      <c r="E50" s="11">
        <v>223162</v>
      </c>
      <c r="F50" s="11">
        <v>221675</v>
      </c>
      <c r="G50" s="11">
        <v>219860</v>
      </c>
      <c r="H50" s="20"/>
      <c r="L50" s="5"/>
      <c r="M50" s="5"/>
      <c r="N50" s="5"/>
      <c r="O50" s="2"/>
      <c r="P50" s="2"/>
      <c r="R50" s="13" t="s">
        <v>27</v>
      </c>
      <c r="S50" s="13" t="s">
        <v>20</v>
      </c>
      <c r="T50" s="14">
        <f t="shared" si="21"/>
        <v>108.9332675453098</v>
      </c>
      <c r="U50" s="14">
        <f t="shared" si="21"/>
        <v>105.16986190777573</v>
      </c>
      <c r="V50" s="14">
        <f t="shared" si="21"/>
        <v>106.1733892352182</v>
      </c>
      <c r="W50" s="14">
        <f t="shared" si="21"/>
        <v>106.78438427542696</v>
      </c>
      <c r="X50" s="14">
        <f t="shared" si="21"/>
        <v>108.16786819811013</v>
      </c>
      <c r="Y50" s="14">
        <f t="shared" si="20"/>
        <v>72.112499999999997</v>
      </c>
      <c r="Z50" s="14">
        <f t="shared" si="20"/>
        <v>70.642499999999998</v>
      </c>
      <c r="AA50" s="14">
        <f t="shared" si="20"/>
        <v>73.435000000000002</v>
      </c>
      <c r="AB50" s="14">
        <f t="shared" si="20"/>
        <v>79.087500000000006</v>
      </c>
      <c r="AC50" s="14">
        <f t="shared" si="20"/>
        <v>73.272499999999994</v>
      </c>
    </row>
    <row r="51" spans="1:29">
      <c r="A51" s="13" t="s">
        <v>27</v>
      </c>
      <c r="B51" s="13" t="s">
        <v>17</v>
      </c>
      <c r="C51" s="11">
        <v>196591</v>
      </c>
      <c r="D51" s="11">
        <v>200663</v>
      </c>
      <c r="E51" s="11">
        <v>199874</v>
      </c>
      <c r="F51" s="11">
        <v>198441</v>
      </c>
      <c r="G51" s="11">
        <v>196416</v>
      </c>
      <c r="H51" s="20"/>
      <c r="L51" s="5"/>
      <c r="M51" s="5"/>
      <c r="N51" s="5"/>
      <c r="O51" s="2"/>
      <c r="P51" s="2"/>
      <c r="R51" s="13" t="s">
        <v>27</v>
      </c>
      <c r="S51" s="13" t="s">
        <v>19</v>
      </c>
      <c r="T51" s="14">
        <f t="shared" si="21"/>
        <v>113.17150835999614</v>
      </c>
      <c r="U51" s="14">
        <f t="shared" si="21"/>
        <v>111.34887846787898</v>
      </c>
      <c r="V51" s="14">
        <f t="shared" si="21"/>
        <v>111.65134034441697</v>
      </c>
      <c r="W51" s="14">
        <f t="shared" si="21"/>
        <v>111.70826593294731</v>
      </c>
      <c r="X51" s="14">
        <f t="shared" si="21"/>
        <v>111.93589116976214</v>
      </c>
      <c r="Y51" s="14">
        <f t="shared" ref="Y51:AC60" si="22">Y12/$B$35</f>
        <v>94.025000000000006</v>
      </c>
      <c r="Z51" s="14">
        <f t="shared" si="22"/>
        <v>82.822500000000005</v>
      </c>
      <c r="AA51" s="14">
        <f t="shared" si="22"/>
        <v>85.465000000000003</v>
      </c>
      <c r="AB51" s="14">
        <f t="shared" si="22"/>
        <v>89.357500000000002</v>
      </c>
      <c r="AC51" s="14">
        <f t="shared" si="22"/>
        <v>86.357500000000002</v>
      </c>
    </row>
    <row r="52" spans="1:29">
      <c r="A52" s="13" t="s">
        <v>26</v>
      </c>
      <c r="B52" s="13" t="s">
        <v>23</v>
      </c>
      <c r="C52" s="11">
        <v>199752</v>
      </c>
      <c r="D52" s="11">
        <v>202276</v>
      </c>
      <c r="E52" s="11">
        <v>202519</v>
      </c>
      <c r="F52" s="11">
        <v>199309</v>
      </c>
      <c r="G52" s="11">
        <v>201873</v>
      </c>
      <c r="H52" s="20"/>
      <c r="L52" s="5"/>
      <c r="M52" s="5"/>
      <c r="N52" s="5"/>
      <c r="O52" s="2"/>
      <c r="P52" s="2"/>
      <c r="R52" s="13" t="s">
        <v>27</v>
      </c>
      <c r="S52" s="13" t="s">
        <v>17</v>
      </c>
      <c r="T52" s="14">
        <f t="shared" si="21"/>
        <v>100</v>
      </c>
      <c r="U52" s="14">
        <f t="shared" si="21"/>
        <v>100</v>
      </c>
      <c r="V52" s="14">
        <f t="shared" si="21"/>
        <v>100</v>
      </c>
      <c r="W52" s="14">
        <f t="shared" si="21"/>
        <v>100</v>
      </c>
      <c r="X52" s="14">
        <f t="shared" si="21"/>
        <v>100</v>
      </c>
      <c r="Y52" s="14">
        <f t="shared" si="22"/>
        <v>57.34</v>
      </c>
      <c r="Z52" s="14">
        <f t="shared" si="22"/>
        <v>51.865000000000002</v>
      </c>
      <c r="AA52" s="14">
        <f t="shared" si="22"/>
        <v>56.865000000000002</v>
      </c>
      <c r="AB52" s="14">
        <f t="shared" si="22"/>
        <v>57.88</v>
      </c>
      <c r="AC52" s="14">
        <f t="shared" si="22"/>
        <v>54.15</v>
      </c>
    </row>
    <row r="53" spans="1:29">
      <c r="A53" s="13" t="s">
        <v>26</v>
      </c>
      <c r="B53" s="13" t="s">
        <v>31</v>
      </c>
      <c r="C53" s="11">
        <v>170131</v>
      </c>
      <c r="D53" s="11">
        <v>173846</v>
      </c>
      <c r="E53" s="11">
        <v>172908</v>
      </c>
      <c r="F53" s="11">
        <v>169660</v>
      </c>
      <c r="G53" s="11">
        <v>172218</v>
      </c>
      <c r="H53" s="20"/>
      <c r="L53" s="5"/>
      <c r="M53" s="5"/>
      <c r="N53" s="5"/>
      <c r="O53" s="2"/>
      <c r="P53" s="2"/>
      <c r="R53" s="13" t="s">
        <v>26</v>
      </c>
      <c r="S53" s="13" t="s">
        <v>23</v>
      </c>
      <c r="T53" s="14">
        <f t="shared" ref="T53:X58" si="23">T14/T$19*100</f>
        <v>112.13769641443656</v>
      </c>
      <c r="U53" s="14">
        <f t="shared" si="23"/>
        <v>113.83069122504909</v>
      </c>
      <c r="V53" s="14">
        <f t="shared" si="23"/>
        <v>116.06804101259149</v>
      </c>
      <c r="W53" s="14">
        <f t="shared" si="23"/>
        <v>114.02051475678057</v>
      </c>
      <c r="X53" s="14">
        <f t="shared" si="23"/>
        <v>113.37676560613295</v>
      </c>
      <c r="Y53" s="14">
        <f t="shared" si="22"/>
        <v>87.16</v>
      </c>
      <c r="Z53" s="14">
        <f t="shared" si="22"/>
        <v>90.677499999999995</v>
      </c>
      <c r="AA53" s="14">
        <f t="shared" si="22"/>
        <v>89.022499999999994</v>
      </c>
      <c r="AB53" s="14">
        <f t="shared" si="22"/>
        <v>93.704999999999998</v>
      </c>
      <c r="AC53" s="14">
        <f t="shared" si="22"/>
        <v>94.59</v>
      </c>
    </row>
    <row r="54" spans="1:29">
      <c r="A54" s="13" t="s">
        <v>26</v>
      </c>
      <c r="B54" s="13" t="s">
        <v>21</v>
      </c>
      <c r="C54" s="11">
        <v>177930</v>
      </c>
      <c r="D54" s="11">
        <v>169346</v>
      </c>
      <c r="E54" s="11">
        <v>172184</v>
      </c>
      <c r="F54" s="11">
        <v>173891</v>
      </c>
      <c r="G54" s="11">
        <v>173244</v>
      </c>
      <c r="H54" s="20"/>
      <c r="L54" s="5"/>
      <c r="M54" s="5"/>
      <c r="N54" s="5"/>
      <c r="O54" s="2"/>
      <c r="P54" s="2"/>
      <c r="R54" s="13" t="s">
        <v>26</v>
      </c>
      <c r="S54" s="13" t="s">
        <v>22</v>
      </c>
      <c r="T54" s="14">
        <f t="shared" si="23"/>
        <v>95.508923208200699</v>
      </c>
      <c r="U54" s="14">
        <f t="shared" si="23"/>
        <v>97.831726683886799</v>
      </c>
      <c r="V54" s="14">
        <f t="shared" si="23"/>
        <v>99.097333264558728</v>
      </c>
      <c r="W54" s="14">
        <f t="shared" si="23"/>
        <v>97.058941310404407</v>
      </c>
      <c r="X54" s="14">
        <f t="shared" si="23"/>
        <v>96.721799443992026</v>
      </c>
      <c r="Y54" s="14">
        <f t="shared" si="22"/>
        <v>63.447499999999998</v>
      </c>
      <c r="Z54" s="14">
        <f t="shared" si="22"/>
        <v>60.482500000000002</v>
      </c>
      <c r="AA54" s="14">
        <f t="shared" si="22"/>
        <v>64.602500000000006</v>
      </c>
      <c r="AB54" s="14">
        <f t="shared" si="22"/>
        <v>59.75</v>
      </c>
      <c r="AC54" s="14">
        <f t="shared" si="22"/>
        <v>60.482500000000002</v>
      </c>
    </row>
    <row r="55" spans="1:29">
      <c r="A55" s="13" t="s">
        <v>26</v>
      </c>
      <c r="B55" s="13" t="s">
        <v>20</v>
      </c>
      <c r="C55" s="11">
        <v>192113</v>
      </c>
      <c r="D55" s="11">
        <v>190772</v>
      </c>
      <c r="E55" s="11">
        <v>191590</v>
      </c>
      <c r="F55" s="11">
        <v>192648</v>
      </c>
      <c r="G55" s="11">
        <v>193383</v>
      </c>
      <c r="H55" s="20"/>
      <c r="L55" s="5"/>
      <c r="M55" s="5"/>
      <c r="N55" s="5"/>
      <c r="O55" s="2"/>
      <c r="P55" s="2"/>
      <c r="R55" s="13" t="s">
        <v>26</v>
      </c>
      <c r="S55" s="13" t="s">
        <v>21</v>
      </c>
      <c r="T55" s="14">
        <f t="shared" si="23"/>
        <v>99.887161695606039</v>
      </c>
      <c r="U55" s="14">
        <f t="shared" si="23"/>
        <v>95.299354526474545</v>
      </c>
      <c r="V55" s="14">
        <f t="shared" si="23"/>
        <v>98.682393127124129</v>
      </c>
      <c r="W55" s="14">
        <f t="shared" si="23"/>
        <v>99.479408012539977</v>
      </c>
      <c r="X55" s="14">
        <f t="shared" si="23"/>
        <v>97.298025890876417</v>
      </c>
      <c r="Y55" s="14">
        <f t="shared" si="22"/>
        <v>70.5</v>
      </c>
      <c r="Z55" s="14">
        <f t="shared" si="22"/>
        <v>71.967500000000001</v>
      </c>
      <c r="AA55" s="14">
        <f t="shared" si="22"/>
        <v>75.034999999999997</v>
      </c>
      <c r="AB55" s="14">
        <f t="shared" si="22"/>
        <v>69.517499999999998</v>
      </c>
      <c r="AC55" s="14">
        <f t="shared" si="22"/>
        <v>71.612499999999997</v>
      </c>
    </row>
    <row r="56" spans="1:29">
      <c r="A56" s="13" t="s">
        <v>26</v>
      </c>
      <c r="B56" s="13" t="s">
        <v>19</v>
      </c>
      <c r="C56" s="11">
        <v>200753</v>
      </c>
      <c r="D56" s="11">
        <v>200764</v>
      </c>
      <c r="E56" s="11">
        <v>200797</v>
      </c>
      <c r="F56" s="11">
        <v>200294</v>
      </c>
      <c r="G56" s="11">
        <v>198924</v>
      </c>
      <c r="H56" s="20"/>
      <c r="L56" s="5"/>
      <c r="M56" s="5"/>
      <c r="N56" s="5"/>
      <c r="O56" s="2"/>
      <c r="P56" s="2"/>
      <c r="R56" s="13" t="s">
        <v>26</v>
      </c>
      <c r="S56" s="13" t="s">
        <v>20</v>
      </c>
      <c r="T56" s="14">
        <f t="shared" si="23"/>
        <v>107.84927946286722</v>
      </c>
      <c r="U56" s="14">
        <f t="shared" si="23"/>
        <v>107.35682249196677</v>
      </c>
      <c r="V56" s="14">
        <f t="shared" si="23"/>
        <v>109.80439355123421</v>
      </c>
      <c r="W56" s="14">
        <f t="shared" si="23"/>
        <v>110.20989582439459</v>
      </c>
      <c r="X56" s="14">
        <f t="shared" si="23"/>
        <v>108.6085760017972</v>
      </c>
      <c r="Y56" s="14">
        <f t="shared" si="22"/>
        <v>66.489999999999995</v>
      </c>
      <c r="Z56" s="14">
        <f t="shared" si="22"/>
        <v>75.307500000000005</v>
      </c>
      <c r="AA56" s="14">
        <f t="shared" si="22"/>
        <v>75.635000000000005</v>
      </c>
      <c r="AB56" s="14">
        <f t="shared" si="22"/>
        <v>71.394999999999996</v>
      </c>
      <c r="AC56" s="14">
        <f t="shared" si="22"/>
        <v>70.599999999999994</v>
      </c>
    </row>
    <row r="57" spans="1:29">
      <c r="A57" s="13" t="s">
        <v>26</v>
      </c>
      <c r="B57" s="13" t="s">
        <v>17</v>
      </c>
      <c r="C57" s="11">
        <v>178131</v>
      </c>
      <c r="D57" s="11">
        <v>177699</v>
      </c>
      <c r="E57" s="11">
        <v>174483</v>
      </c>
      <c r="F57" s="11">
        <v>174801</v>
      </c>
      <c r="G57" s="11">
        <v>178055</v>
      </c>
      <c r="H57" s="20"/>
      <c r="L57" s="5"/>
      <c r="M57" s="5"/>
      <c r="N57" s="5"/>
      <c r="O57" s="2"/>
      <c r="P57" s="2"/>
      <c r="R57" s="13" t="s">
        <v>26</v>
      </c>
      <c r="S57" s="13" t="s">
        <v>19</v>
      </c>
      <c r="T57" s="14">
        <f t="shared" si="23"/>
        <v>112.69964239801044</v>
      </c>
      <c r="U57" s="14">
        <f t="shared" si="23"/>
        <v>112.97981418015858</v>
      </c>
      <c r="V57" s="14">
        <f t="shared" si="23"/>
        <v>115.08112538184237</v>
      </c>
      <c r="W57" s="14">
        <f t="shared" si="23"/>
        <v>114.58401267727301</v>
      </c>
      <c r="X57" s="14">
        <f t="shared" si="23"/>
        <v>111.72053578950324</v>
      </c>
      <c r="Y57" s="14">
        <f t="shared" si="22"/>
        <v>92.227500000000006</v>
      </c>
      <c r="Z57" s="14">
        <f t="shared" si="22"/>
        <v>86.194999999999993</v>
      </c>
      <c r="AA57" s="14">
        <f t="shared" si="22"/>
        <v>90.26</v>
      </c>
      <c r="AB57" s="14">
        <f t="shared" si="22"/>
        <v>82.677499999999995</v>
      </c>
      <c r="AC57" s="14">
        <f t="shared" si="22"/>
        <v>87.24</v>
      </c>
    </row>
    <row r="58" spans="1:29">
      <c r="A58" s="13" t="s">
        <v>25</v>
      </c>
      <c r="B58" s="13" t="s">
        <v>23</v>
      </c>
      <c r="C58" s="11">
        <v>402134</v>
      </c>
      <c r="D58" s="11">
        <v>400717</v>
      </c>
      <c r="E58" s="11">
        <v>401439</v>
      </c>
      <c r="F58" s="11">
        <v>401397</v>
      </c>
      <c r="G58" s="11">
        <v>402295</v>
      </c>
      <c r="H58" s="20"/>
      <c r="L58" s="5"/>
      <c r="M58" s="5"/>
      <c r="N58" s="5"/>
      <c r="O58" s="2"/>
      <c r="P58" s="2"/>
      <c r="R58" s="13" t="s">
        <v>26</v>
      </c>
      <c r="S58" s="13" t="s">
        <v>17</v>
      </c>
      <c r="T58" s="14">
        <f t="shared" si="23"/>
        <v>100</v>
      </c>
      <c r="U58" s="14">
        <f t="shared" si="23"/>
        <v>100</v>
      </c>
      <c r="V58" s="14">
        <f t="shared" si="23"/>
        <v>100</v>
      </c>
      <c r="W58" s="14">
        <f t="shared" si="23"/>
        <v>100</v>
      </c>
      <c r="X58" s="14">
        <f t="shared" si="23"/>
        <v>100</v>
      </c>
      <c r="Y58" s="14">
        <f t="shared" si="22"/>
        <v>52.66</v>
      </c>
      <c r="Z58" s="14">
        <f t="shared" si="22"/>
        <v>50.267499999999998</v>
      </c>
      <c r="AA58" s="14">
        <f t="shared" si="22"/>
        <v>53.7425</v>
      </c>
      <c r="AB58" s="14">
        <f t="shared" si="22"/>
        <v>48.18</v>
      </c>
      <c r="AC58" s="14">
        <f t="shared" si="22"/>
        <v>49.034999999999997</v>
      </c>
    </row>
    <row r="59" spans="1:29">
      <c r="A59" s="13" t="s">
        <v>25</v>
      </c>
      <c r="B59" s="13" t="s">
        <v>31</v>
      </c>
      <c r="C59" s="11">
        <v>348007</v>
      </c>
      <c r="D59" s="11">
        <v>348112</v>
      </c>
      <c r="E59" s="11">
        <v>347121</v>
      </c>
      <c r="F59" s="11">
        <v>346284</v>
      </c>
      <c r="G59" s="11">
        <v>347745</v>
      </c>
      <c r="H59" s="20"/>
      <c r="L59" s="5"/>
      <c r="M59" s="5"/>
      <c r="N59" s="5"/>
      <c r="O59" s="2"/>
      <c r="P59" s="2"/>
      <c r="R59" s="13" t="s">
        <v>25</v>
      </c>
      <c r="S59" s="13" t="s">
        <v>23</v>
      </c>
      <c r="T59" s="14">
        <f t="shared" ref="T59:X64" si="24">T20/T$25*100</f>
        <v>105.08773992918088</v>
      </c>
      <c r="U59" s="14">
        <f t="shared" si="24"/>
        <v>106.25180636317113</v>
      </c>
      <c r="V59" s="14">
        <f t="shared" si="24"/>
        <v>106.24829619591829</v>
      </c>
      <c r="W59" s="14">
        <f t="shared" si="24"/>
        <v>104.59257058878708</v>
      </c>
      <c r="X59" s="14">
        <f t="shared" si="24"/>
        <v>105.49979938267558</v>
      </c>
      <c r="Y59" s="14">
        <f t="shared" si="22"/>
        <v>90.265000000000001</v>
      </c>
      <c r="Z59" s="14">
        <f t="shared" si="22"/>
        <v>86.832499999999996</v>
      </c>
      <c r="AA59" s="14">
        <f t="shared" si="22"/>
        <v>86.28</v>
      </c>
      <c r="AB59" s="14">
        <f t="shared" si="22"/>
        <v>84.712500000000006</v>
      </c>
      <c r="AC59" s="14">
        <f t="shared" si="22"/>
        <v>85.87</v>
      </c>
    </row>
    <row r="60" spans="1:29">
      <c r="A60" s="13" t="s">
        <v>25</v>
      </c>
      <c r="B60" s="13" t="s">
        <v>21</v>
      </c>
      <c r="C60" s="11">
        <v>382601</v>
      </c>
      <c r="D60" s="11">
        <v>381668</v>
      </c>
      <c r="E60" s="11">
        <v>370573</v>
      </c>
      <c r="F60" s="11">
        <v>369576</v>
      </c>
      <c r="G60" s="11">
        <v>371043</v>
      </c>
      <c r="H60" s="20"/>
      <c r="L60" s="5"/>
      <c r="M60" s="5"/>
      <c r="N60" s="5"/>
      <c r="O60" s="2"/>
      <c r="P60" s="2"/>
      <c r="R60" s="13" t="s">
        <v>25</v>
      </c>
      <c r="S60" s="13" t="s">
        <v>22</v>
      </c>
      <c r="T60" s="14">
        <f t="shared" si="24"/>
        <v>90.942991911985686</v>
      </c>
      <c r="U60" s="14">
        <f t="shared" si="24"/>
        <v>92.303368254145028</v>
      </c>
      <c r="V60" s="14">
        <f t="shared" si="24"/>
        <v>91.872027440839958</v>
      </c>
      <c r="W60" s="14">
        <f t="shared" si="24"/>
        <v>90.2317000719177</v>
      </c>
      <c r="X60" s="14">
        <f t="shared" si="24"/>
        <v>91.194341804716743</v>
      </c>
      <c r="Y60" s="14">
        <f t="shared" si="22"/>
        <v>67.482500000000002</v>
      </c>
      <c r="Z60" s="14">
        <f t="shared" si="22"/>
        <v>65.28</v>
      </c>
      <c r="AA60" s="14">
        <f t="shared" si="22"/>
        <v>65.317499999999995</v>
      </c>
      <c r="AB60" s="14">
        <f t="shared" si="22"/>
        <v>71.22</v>
      </c>
      <c r="AC60" s="14">
        <f t="shared" si="22"/>
        <v>71.745000000000005</v>
      </c>
    </row>
    <row r="61" spans="1:29">
      <c r="A61" s="13" t="s">
        <v>25</v>
      </c>
      <c r="B61" s="13" t="s">
        <v>20</v>
      </c>
      <c r="C61" s="11">
        <v>395690</v>
      </c>
      <c r="D61" s="11">
        <v>397449</v>
      </c>
      <c r="E61" s="11">
        <v>399951</v>
      </c>
      <c r="F61" s="11">
        <v>395137</v>
      </c>
      <c r="G61" s="11">
        <v>395801</v>
      </c>
      <c r="H61" s="20"/>
      <c r="L61" s="5"/>
      <c r="M61" s="5"/>
      <c r="N61" s="5"/>
      <c r="O61" s="2"/>
      <c r="P61" s="2"/>
      <c r="R61" s="13" t="s">
        <v>25</v>
      </c>
      <c r="S61" s="13" t="s">
        <v>21</v>
      </c>
      <c r="T61" s="14">
        <f t="shared" si="24"/>
        <v>99.983275188480789</v>
      </c>
      <c r="U61" s="14">
        <f t="shared" si="24"/>
        <v>101.20088349388421</v>
      </c>
      <c r="V61" s="14">
        <f t="shared" si="24"/>
        <v>98.079035335904152</v>
      </c>
      <c r="W61" s="14">
        <f t="shared" si="24"/>
        <v>96.300928676401611</v>
      </c>
      <c r="X61" s="14">
        <f t="shared" si="24"/>
        <v>97.304122751578063</v>
      </c>
      <c r="Y61" s="14">
        <f t="shared" ref="Y61:AC70" si="25">Y22/$B$35</f>
        <v>83.367500000000007</v>
      </c>
      <c r="Z61" s="14">
        <f t="shared" si="25"/>
        <v>81.327500000000001</v>
      </c>
      <c r="AA61" s="14">
        <f t="shared" si="25"/>
        <v>78.040000000000006</v>
      </c>
      <c r="AB61" s="14">
        <f t="shared" si="25"/>
        <v>77.364999999999995</v>
      </c>
      <c r="AC61" s="14">
        <f t="shared" si="25"/>
        <v>76.655000000000001</v>
      </c>
    </row>
    <row r="62" spans="1:29">
      <c r="A62" s="13" t="s">
        <v>25</v>
      </c>
      <c r="B62" s="13" t="s">
        <v>19</v>
      </c>
      <c r="C62" s="11">
        <v>411885</v>
      </c>
      <c r="D62" s="11">
        <v>407915</v>
      </c>
      <c r="E62" s="11">
        <v>410528</v>
      </c>
      <c r="F62" s="11">
        <v>404594</v>
      </c>
      <c r="G62" s="11">
        <v>406313</v>
      </c>
      <c r="H62" s="20"/>
      <c r="L62" s="5"/>
      <c r="M62" s="5"/>
      <c r="N62" s="5"/>
      <c r="O62" s="2"/>
      <c r="P62" s="2"/>
      <c r="R62" s="13" t="s">
        <v>25</v>
      </c>
      <c r="S62" s="13" t="s">
        <v>20</v>
      </c>
      <c r="T62" s="14">
        <f t="shared" si="24"/>
        <v>103.40376046934003</v>
      </c>
      <c r="U62" s="14">
        <f t="shared" si="24"/>
        <v>105.38528234947857</v>
      </c>
      <c r="V62" s="14">
        <f t="shared" si="24"/>
        <v>105.85446932623314</v>
      </c>
      <c r="W62" s="14">
        <f t="shared" si="24"/>
        <v>102.96139374420228</v>
      </c>
      <c r="X62" s="14">
        <f t="shared" si="24"/>
        <v>103.79678120648374</v>
      </c>
      <c r="Y62" s="14">
        <f t="shared" si="25"/>
        <v>78.08</v>
      </c>
      <c r="Z62" s="14">
        <f t="shared" si="25"/>
        <v>86.897499999999994</v>
      </c>
      <c r="AA62" s="14">
        <f t="shared" si="25"/>
        <v>80.064999999999998</v>
      </c>
      <c r="AB62" s="14">
        <f t="shared" si="25"/>
        <v>77.897499999999994</v>
      </c>
      <c r="AC62" s="14">
        <f t="shared" si="25"/>
        <v>82.435000000000002</v>
      </c>
    </row>
    <row r="63" spans="1:29">
      <c r="A63" s="13" t="s">
        <v>25</v>
      </c>
      <c r="B63" s="13" t="s">
        <v>17</v>
      </c>
      <c r="C63" s="11">
        <v>382665</v>
      </c>
      <c r="D63" s="11">
        <v>377139</v>
      </c>
      <c r="E63" s="11">
        <v>377831</v>
      </c>
      <c r="F63" s="11">
        <v>383772</v>
      </c>
      <c r="G63" s="11">
        <v>381323</v>
      </c>
      <c r="H63" s="20"/>
      <c r="L63" s="5"/>
      <c r="M63" s="5"/>
      <c r="N63" s="5"/>
      <c r="O63" s="2"/>
      <c r="P63" s="2"/>
      <c r="R63" s="13" t="s">
        <v>25</v>
      </c>
      <c r="S63" s="13" t="s">
        <v>19</v>
      </c>
      <c r="T63" s="14">
        <f t="shared" si="24"/>
        <v>107.6359217592411</v>
      </c>
      <c r="U63" s="14">
        <f t="shared" si="24"/>
        <v>108.16038648880122</v>
      </c>
      <c r="V63" s="14">
        <f t="shared" si="24"/>
        <v>108.65386905785921</v>
      </c>
      <c r="W63" s="14">
        <f t="shared" si="24"/>
        <v>105.42561729360141</v>
      </c>
      <c r="X63" s="14">
        <f t="shared" si="24"/>
        <v>106.55349926440314</v>
      </c>
      <c r="Y63" s="14">
        <f t="shared" si="25"/>
        <v>87.327500000000001</v>
      </c>
      <c r="Z63" s="14">
        <f t="shared" si="25"/>
        <v>86.924999999999997</v>
      </c>
      <c r="AA63" s="14">
        <f t="shared" si="25"/>
        <v>91.0625</v>
      </c>
      <c r="AB63" s="14">
        <f t="shared" si="25"/>
        <v>87.87</v>
      </c>
      <c r="AC63" s="14">
        <f t="shared" si="25"/>
        <v>82.575000000000003</v>
      </c>
    </row>
    <row r="64" spans="1:29">
      <c r="A64" s="13" t="s">
        <v>24</v>
      </c>
      <c r="B64" s="13" t="s">
        <v>23</v>
      </c>
      <c r="C64" s="11">
        <v>15583.4</v>
      </c>
      <c r="D64" s="11">
        <v>15363.3</v>
      </c>
      <c r="E64" s="11">
        <v>15428.8</v>
      </c>
      <c r="F64" s="11">
        <v>15794.6</v>
      </c>
      <c r="G64" s="11">
        <v>15543.8</v>
      </c>
      <c r="H64" s="20"/>
      <c r="L64" s="5"/>
      <c r="M64" s="5"/>
      <c r="N64" s="5"/>
      <c r="O64" s="2"/>
      <c r="P64" s="2"/>
      <c r="R64" s="13" t="s">
        <v>25</v>
      </c>
      <c r="S64" s="13" t="s">
        <v>17</v>
      </c>
      <c r="T64" s="14">
        <f t="shared" si="24"/>
        <v>100</v>
      </c>
      <c r="U64" s="14">
        <f t="shared" si="24"/>
        <v>100</v>
      </c>
      <c r="V64" s="14">
        <f t="shared" si="24"/>
        <v>100</v>
      </c>
      <c r="W64" s="14">
        <f t="shared" si="24"/>
        <v>100</v>
      </c>
      <c r="X64" s="14">
        <f t="shared" si="24"/>
        <v>100</v>
      </c>
      <c r="Y64" s="14">
        <f t="shared" si="25"/>
        <v>66.292500000000004</v>
      </c>
      <c r="Z64" s="14">
        <f t="shared" si="25"/>
        <v>63.02</v>
      </c>
      <c r="AA64" s="14">
        <f t="shared" si="25"/>
        <v>68.047499999999999</v>
      </c>
      <c r="AB64" s="14">
        <f t="shared" si="25"/>
        <v>62.715000000000003</v>
      </c>
      <c r="AC64" s="14">
        <f t="shared" si="25"/>
        <v>66.234999999999999</v>
      </c>
    </row>
    <row r="65" spans="1:30">
      <c r="A65" s="13" t="s">
        <v>24</v>
      </c>
      <c r="B65" s="13" t="s">
        <v>31</v>
      </c>
      <c r="C65" s="11">
        <v>14293.3</v>
      </c>
      <c r="D65" s="11">
        <v>14271.7</v>
      </c>
      <c r="E65" s="11">
        <v>14321.3</v>
      </c>
      <c r="F65" s="11">
        <v>14374.5</v>
      </c>
      <c r="G65" s="11">
        <v>14442.3</v>
      </c>
      <c r="H65" s="20"/>
      <c r="L65" s="5"/>
      <c r="M65" s="5"/>
      <c r="N65" s="5"/>
      <c r="O65" s="2"/>
      <c r="P65" s="2"/>
      <c r="R65" s="13" t="s">
        <v>24</v>
      </c>
      <c r="S65" s="13" t="s">
        <v>23</v>
      </c>
      <c r="T65" s="14">
        <f t="shared" ref="T65:X70" si="26">T26/T$31*100</f>
        <v>104.82577694067</v>
      </c>
      <c r="U65" s="14">
        <f t="shared" si="26"/>
        <v>103.67368698081503</v>
      </c>
      <c r="V65" s="14">
        <f t="shared" si="26"/>
        <v>104.04547876106791</v>
      </c>
      <c r="W65" s="14">
        <f t="shared" si="26"/>
        <v>105.6332470589809</v>
      </c>
      <c r="X65" s="14">
        <f t="shared" si="26"/>
        <v>102.95884640096442</v>
      </c>
      <c r="Y65" s="14">
        <f t="shared" si="25"/>
        <v>86.162499999999994</v>
      </c>
      <c r="Z65" s="14">
        <f t="shared" si="25"/>
        <v>92.135000000000005</v>
      </c>
      <c r="AA65" s="14">
        <f t="shared" si="25"/>
        <v>83.23</v>
      </c>
      <c r="AB65" s="14">
        <f t="shared" si="25"/>
        <v>91.29</v>
      </c>
      <c r="AC65" s="14">
        <f t="shared" si="25"/>
        <v>82.394999999999996</v>
      </c>
    </row>
    <row r="66" spans="1:30">
      <c r="A66" s="13" t="s">
        <v>24</v>
      </c>
      <c r="B66" s="13" t="s">
        <v>21</v>
      </c>
      <c r="C66" s="11">
        <v>14001.1</v>
      </c>
      <c r="D66" s="11">
        <v>13896.7</v>
      </c>
      <c r="E66" s="11">
        <v>13903.3</v>
      </c>
      <c r="F66" s="11">
        <v>13969</v>
      </c>
      <c r="G66" s="11">
        <v>14056.2</v>
      </c>
      <c r="H66" s="20"/>
      <c r="L66" s="5"/>
      <c r="M66" s="5"/>
      <c r="N66" s="5"/>
      <c r="O66" s="2"/>
      <c r="P66" s="2"/>
      <c r="R66" s="13" t="s">
        <v>24</v>
      </c>
      <c r="S66" s="13" t="s">
        <v>22</v>
      </c>
      <c r="T66" s="14">
        <f t="shared" si="26"/>
        <v>96.147585093501945</v>
      </c>
      <c r="U66" s="14">
        <f t="shared" si="26"/>
        <v>96.307418229423249</v>
      </c>
      <c r="V66" s="14">
        <f t="shared" si="26"/>
        <v>96.576954460546631</v>
      </c>
      <c r="W66" s="14">
        <f t="shared" si="26"/>
        <v>96.135711562769615</v>
      </c>
      <c r="X66" s="14">
        <f t="shared" si="26"/>
        <v>95.662743175841712</v>
      </c>
      <c r="Y66" s="14">
        <f t="shared" si="25"/>
        <v>68.517499999999998</v>
      </c>
      <c r="Z66" s="14">
        <f t="shared" si="25"/>
        <v>72.172499999999999</v>
      </c>
      <c r="AA66" s="14">
        <f t="shared" si="25"/>
        <v>65.897499999999994</v>
      </c>
      <c r="AB66" s="14">
        <f t="shared" si="25"/>
        <v>65.94</v>
      </c>
      <c r="AC66" s="14">
        <f t="shared" si="25"/>
        <v>66.69</v>
      </c>
    </row>
    <row r="67" spans="1:30">
      <c r="A67" s="13" t="s">
        <v>24</v>
      </c>
      <c r="B67" s="13" t="s">
        <v>20</v>
      </c>
      <c r="C67" s="11">
        <v>15351.7</v>
      </c>
      <c r="D67" s="11">
        <v>15389.9</v>
      </c>
      <c r="E67" s="11">
        <v>15342.1</v>
      </c>
      <c r="F67" s="11">
        <v>15683.1</v>
      </c>
      <c r="G67" s="11">
        <v>15518.4</v>
      </c>
      <c r="H67" s="20"/>
      <c r="L67" s="5"/>
      <c r="M67" s="5"/>
      <c r="N67" s="5"/>
      <c r="O67" s="2"/>
      <c r="P67" s="2"/>
      <c r="R67" s="13" t="s">
        <v>24</v>
      </c>
      <c r="S67" s="13" t="s">
        <v>21</v>
      </c>
      <c r="T67" s="14">
        <f t="shared" si="26"/>
        <v>94.182026099825109</v>
      </c>
      <c r="U67" s="14">
        <f t="shared" si="26"/>
        <v>93.776866029192462</v>
      </c>
      <c r="V67" s="14">
        <f t="shared" si="26"/>
        <v>93.758134453668177</v>
      </c>
      <c r="W67" s="14">
        <f t="shared" si="26"/>
        <v>93.423754205038691</v>
      </c>
      <c r="X67" s="14">
        <f t="shared" si="26"/>
        <v>93.105298368560852</v>
      </c>
      <c r="Y67" s="14">
        <f t="shared" si="25"/>
        <v>70.932500000000005</v>
      </c>
      <c r="Z67" s="14">
        <f t="shared" si="25"/>
        <v>66.567499999999995</v>
      </c>
      <c r="AA67" s="14">
        <f t="shared" si="25"/>
        <v>66.757499999999993</v>
      </c>
      <c r="AB67" s="14">
        <f t="shared" si="25"/>
        <v>68.317499999999995</v>
      </c>
      <c r="AC67" s="14">
        <f t="shared" si="25"/>
        <v>68.849999999999994</v>
      </c>
    </row>
    <row r="68" spans="1:30">
      <c r="A68" s="13" t="s">
        <v>24</v>
      </c>
      <c r="B68" s="13" t="s">
        <v>19</v>
      </c>
      <c r="C68" s="11">
        <v>15566.6</v>
      </c>
      <c r="D68" s="11">
        <v>15752</v>
      </c>
      <c r="E68" s="11">
        <v>15570.1</v>
      </c>
      <c r="F68" s="11">
        <v>15755.4</v>
      </c>
      <c r="G68" s="11">
        <v>15804.1</v>
      </c>
      <c r="H68" s="20"/>
      <c r="L68" s="5"/>
      <c r="M68" s="5"/>
      <c r="N68" s="5"/>
      <c r="O68" s="2"/>
      <c r="P68" s="2"/>
      <c r="R68" s="13" t="s">
        <v>24</v>
      </c>
      <c r="S68" s="13" t="s">
        <v>20</v>
      </c>
      <c r="T68" s="14">
        <f t="shared" si="26"/>
        <v>103.26718686936633</v>
      </c>
      <c r="U68" s="14">
        <f t="shared" si="26"/>
        <v>103.85318748355141</v>
      </c>
      <c r="V68" s="14">
        <f t="shared" si="26"/>
        <v>103.46080963523929</v>
      </c>
      <c r="W68" s="14">
        <f t="shared" si="26"/>
        <v>104.88754238478361</v>
      </c>
      <c r="X68" s="14">
        <f t="shared" si="26"/>
        <v>102.79060216862841</v>
      </c>
      <c r="Y68" s="14">
        <f t="shared" si="25"/>
        <v>73.092500000000001</v>
      </c>
      <c r="Z68" s="14">
        <f t="shared" si="25"/>
        <v>81.897499999999994</v>
      </c>
      <c r="AA68" s="14">
        <f t="shared" si="25"/>
        <v>71.982500000000002</v>
      </c>
      <c r="AB68" s="14">
        <f t="shared" si="25"/>
        <v>76.337500000000006</v>
      </c>
      <c r="AC68" s="14">
        <f t="shared" si="25"/>
        <v>75.087500000000006</v>
      </c>
    </row>
    <row r="69" spans="1:30">
      <c r="A69" s="13" t="s">
        <v>24</v>
      </c>
      <c r="B69" s="13" t="s">
        <v>17</v>
      </c>
      <c r="C69" s="11">
        <v>14866</v>
      </c>
      <c r="D69" s="11">
        <v>14818.9</v>
      </c>
      <c r="E69" s="11">
        <v>14828.9</v>
      </c>
      <c r="F69" s="11">
        <v>14952.3</v>
      </c>
      <c r="G69" s="11">
        <v>15097.1</v>
      </c>
      <c r="H69" s="20"/>
      <c r="L69" s="5"/>
      <c r="M69" s="5"/>
      <c r="N69" s="5"/>
      <c r="O69" s="2"/>
      <c r="P69" s="2"/>
      <c r="R69" s="13" t="s">
        <v>24</v>
      </c>
      <c r="S69" s="13" t="s">
        <v>19</v>
      </c>
      <c r="T69" s="14">
        <f t="shared" si="26"/>
        <v>104.71276738867215</v>
      </c>
      <c r="U69" s="14">
        <f t="shared" si="26"/>
        <v>106.29668868809425</v>
      </c>
      <c r="V69" s="14">
        <f t="shared" si="26"/>
        <v>104.99834782080937</v>
      </c>
      <c r="W69" s="14">
        <f t="shared" si="26"/>
        <v>105.37108003450975</v>
      </c>
      <c r="X69" s="14">
        <f t="shared" si="26"/>
        <v>104.68301859297482</v>
      </c>
      <c r="Y69" s="14">
        <f t="shared" si="25"/>
        <v>83.24</v>
      </c>
      <c r="Z69" s="14">
        <f t="shared" si="25"/>
        <v>81.2</v>
      </c>
      <c r="AA69" s="14">
        <f t="shared" si="25"/>
        <v>81.952500000000001</v>
      </c>
      <c r="AB69" s="14">
        <f t="shared" si="25"/>
        <v>82.922499999999999</v>
      </c>
      <c r="AC69" s="14">
        <f t="shared" si="25"/>
        <v>90.48</v>
      </c>
    </row>
    <row r="70" spans="1:30">
      <c r="A70" s="13" t="s">
        <v>18</v>
      </c>
      <c r="B70" s="13" t="s">
        <v>23</v>
      </c>
      <c r="C70" s="11">
        <v>126516</v>
      </c>
      <c r="D70" s="11">
        <v>126827</v>
      </c>
      <c r="E70" s="11">
        <v>126107</v>
      </c>
      <c r="F70" s="11">
        <v>127168</v>
      </c>
      <c r="G70" s="11">
        <v>127031</v>
      </c>
      <c r="H70" s="20"/>
      <c r="L70" s="5"/>
      <c r="M70" s="5"/>
      <c r="N70" s="5"/>
      <c r="O70" s="2"/>
      <c r="P70" s="2"/>
      <c r="R70" s="13" t="s">
        <v>24</v>
      </c>
      <c r="S70" s="13" t="s">
        <v>17</v>
      </c>
      <c r="T70" s="14">
        <f t="shared" si="26"/>
        <v>100</v>
      </c>
      <c r="U70" s="14">
        <f t="shared" si="26"/>
        <v>100</v>
      </c>
      <c r="V70" s="14">
        <f t="shared" si="26"/>
        <v>100</v>
      </c>
      <c r="W70" s="14">
        <f t="shared" si="26"/>
        <v>100</v>
      </c>
      <c r="X70" s="14">
        <f t="shared" si="26"/>
        <v>100</v>
      </c>
      <c r="Y70" s="14">
        <f t="shared" si="25"/>
        <v>64</v>
      </c>
      <c r="Z70" s="14">
        <f t="shared" si="25"/>
        <v>63.625</v>
      </c>
      <c r="AA70" s="14">
        <f t="shared" si="25"/>
        <v>62.625</v>
      </c>
      <c r="AB70" s="14">
        <f t="shared" si="25"/>
        <v>59.965000000000003</v>
      </c>
      <c r="AC70" s="14">
        <f t="shared" si="25"/>
        <v>63.39</v>
      </c>
    </row>
    <row r="71" spans="1:30">
      <c r="A71" s="13" t="s">
        <v>18</v>
      </c>
      <c r="B71" s="13" t="s">
        <v>31</v>
      </c>
      <c r="C71" s="11">
        <v>110068</v>
      </c>
      <c r="D71" s="11">
        <v>111144</v>
      </c>
      <c r="E71" s="11">
        <v>111606</v>
      </c>
      <c r="F71" s="11">
        <v>109887</v>
      </c>
      <c r="G71" s="11">
        <v>109435</v>
      </c>
      <c r="H71" s="20"/>
      <c r="L71" s="5"/>
      <c r="M71" s="5"/>
      <c r="N71" s="5"/>
      <c r="O71" s="2"/>
      <c r="P71" s="2"/>
      <c r="R71" s="13" t="s">
        <v>18</v>
      </c>
      <c r="S71" s="13" t="s">
        <v>23</v>
      </c>
      <c r="T71" s="14">
        <f t="shared" ref="T71:X76" si="27">T32/T$37*100</f>
        <v>103.40498569677156</v>
      </c>
      <c r="U71" s="14">
        <f t="shared" si="27"/>
        <v>103.79575902904517</v>
      </c>
      <c r="V71" s="14">
        <f t="shared" si="27"/>
        <v>103.14235472130208</v>
      </c>
      <c r="W71" s="14">
        <f t="shared" si="27"/>
        <v>105.12706049633782</v>
      </c>
      <c r="X71" s="14">
        <f t="shared" si="27"/>
        <v>104.69875546031484</v>
      </c>
      <c r="Y71" s="14">
        <f t="shared" ref="Y71:AC76" si="28">Y32/$B$35</f>
        <v>82.474999999999994</v>
      </c>
      <c r="Z71" s="14">
        <f t="shared" si="28"/>
        <v>82.45</v>
      </c>
      <c r="AA71" s="14">
        <f t="shared" si="28"/>
        <v>84.454999999999998</v>
      </c>
      <c r="AB71" s="14">
        <f t="shared" si="28"/>
        <v>82.47</v>
      </c>
      <c r="AC71" s="14">
        <f t="shared" si="28"/>
        <v>83.25</v>
      </c>
    </row>
    <row r="72" spans="1:30">
      <c r="A72" s="13" t="s">
        <v>18</v>
      </c>
      <c r="B72" s="13" t="s">
        <v>21</v>
      </c>
      <c r="C72" s="11">
        <v>120809</v>
      </c>
      <c r="D72" s="11">
        <v>119929</v>
      </c>
      <c r="E72" s="11">
        <v>121808</v>
      </c>
      <c r="F72" s="11">
        <v>121386</v>
      </c>
      <c r="G72" s="11">
        <v>118754</v>
      </c>
      <c r="H72" s="20"/>
      <c r="L72" s="5"/>
      <c r="M72" s="5"/>
      <c r="N72" s="5"/>
      <c r="O72" s="2"/>
      <c r="P72" s="2"/>
      <c r="R72" s="13" t="s">
        <v>18</v>
      </c>
      <c r="S72" s="13" t="s">
        <v>22</v>
      </c>
      <c r="T72" s="14">
        <f t="shared" si="27"/>
        <v>89.961585615038814</v>
      </c>
      <c r="U72" s="14">
        <f t="shared" si="27"/>
        <v>90.960724778826247</v>
      </c>
      <c r="V72" s="14">
        <f t="shared" si="27"/>
        <v>91.282051282051285</v>
      </c>
      <c r="W72" s="14">
        <f t="shared" si="27"/>
        <v>90.841228113684835</v>
      </c>
      <c r="X72" s="14">
        <f t="shared" si="27"/>
        <v>90.196159235143824</v>
      </c>
      <c r="Y72" s="14">
        <f t="shared" si="28"/>
        <v>65.452500000000001</v>
      </c>
      <c r="Z72" s="14">
        <f t="shared" si="28"/>
        <v>65.834999999999994</v>
      </c>
      <c r="AA72" s="14">
        <f t="shared" si="28"/>
        <v>65.537499999999994</v>
      </c>
      <c r="AB72" s="14">
        <f t="shared" si="28"/>
        <v>64.822500000000005</v>
      </c>
      <c r="AC72" s="14">
        <f t="shared" si="28"/>
        <v>65.14</v>
      </c>
    </row>
    <row r="73" spans="1:30">
      <c r="A73" s="13" t="s">
        <v>18</v>
      </c>
      <c r="B73" s="13" t="s">
        <v>20</v>
      </c>
      <c r="C73" s="11">
        <v>127631</v>
      </c>
      <c r="D73" s="11">
        <v>127488</v>
      </c>
      <c r="E73" s="11">
        <v>126879</v>
      </c>
      <c r="F73" s="11">
        <v>127909</v>
      </c>
      <c r="G73" s="11">
        <v>126576</v>
      </c>
      <c r="H73" s="20"/>
      <c r="L73" s="5"/>
      <c r="M73" s="5"/>
      <c r="N73" s="5"/>
      <c r="O73" s="2"/>
      <c r="P73" s="2"/>
      <c r="R73" s="13" t="s">
        <v>18</v>
      </c>
      <c r="S73" s="13" t="s">
        <v>21</v>
      </c>
      <c r="T73" s="14">
        <f t="shared" si="27"/>
        <v>98.740498569677158</v>
      </c>
      <c r="U73" s="14">
        <f t="shared" si="27"/>
        <v>98.1504063377227</v>
      </c>
      <c r="V73" s="14">
        <f t="shared" si="27"/>
        <v>99.62622173148489</v>
      </c>
      <c r="W73" s="14">
        <f t="shared" si="27"/>
        <v>100.34720499975201</v>
      </c>
      <c r="X73" s="14">
        <f t="shared" si="27"/>
        <v>97.876864749031569</v>
      </c>
      <c r="Y73" s="14">
        <f t="shared" si="28"/>
        <v>83.022499999999994</v>
      </c>
      <c r="Z73" s="14">
        <f t="shared" si="28"/>
        <v>84.412499999999994</v>
      </c>
      <c r="AA73" s="14">
        <f t="shared" si="28"/>
        <v>85.064999999999998</v>
      </c>
      <c r="AB73" s="14">
        <f t="shared" si="28"/>
        <v>79.987499999999997</v>
      </c>
      <c r="AC73" s="14">
        <f t="shared" si="28"/>
        <v>81.902500000000003</v>
      </c>
    </row>
    <row r="74" spans="1:30">
      <c r="A74" s="13" t="s">
        <v>18</v>
      </c>
      <c r="B74" s="13" t="s">
        <v>19</v>
      </c>
      <c r="C74" s="11">
        <v>131127</v>
      </c>
      <c r="D74" s="11">
        <v>130273</v>
      </c>
      <c r="E74" s="11">
        <v>131150</v>
      </c>
      <c r="F74" s="11">
        <v>130253</v>
      </c>
      <c r="G74" s="11">
        <v>131407</v>
      </c>
      <c r="H74" s="20"/>
      <c r="L74" s="5"/>
      <c r="M74" s="5"/>
      <c r="N74" s="5"/>
      <c r="O74" s="2"/>
      <c r="P74" s="2"/>
      <c r="R74" s="13" t="s">
        <v>18</v>
      </c>
      <c r="S74" s="13" t="s">
        <v>20</v>
      </c>
      <c r="T74" s="14">
        <f t="shared" si="27"/>
        <v>104.316305680425</v>
      </c>
      <c r="U74" s="14">
        <f t="shared" si="27"/>
        <v>104.33672425504751</v>
      </c>
      <c r="V74" s="14">
        <f t="shared" si="27"/>
        <v>103.77377008955958</v>
      </c>
      <c r="W74" s="14">
        <f t="shared" si="27"/>
        <v>105.73962931732883</v>
      </c>
      <c r="X74" s="14">
        <f t="shared" si="27"/>
        <v>104.323745157834</v>
      </c>
      <c r="Y74" s="14">
        <f t="shared" si="28"/>
        <v>82.05</v>
      </c>
      <c r="Z74" s="14">
        <f t="shared" si="28"/>
        <v>82.13</v>
      </c>
      <c r="AA74" s="14">
        <f t="shared" si="28"/>
        <v>78.78</v>
      </c>
      <c r="AB74" s="14">
        <f t="shared" si="28"/>
        <v>76.692499999999995</v>
      </c>
      <c r="AC74" s="14">
        <f t="shared" si="28"/>
        <v>82.67</v>
      </c>
      <c r="AD74" s="15"/>
    </row>
    <row r="75" spans="1:30">
      <c r="A75" s="13" t="s">
        <v>18</v>
      </c>
      <c r="B75" s="13" t="s">
        <v>17</v>
      </c>
      <c r="C75" s="11">
        <v>122350</v>
      </c>
      <c r="D75" s="11">
        <v>122189</v>
      </c>
      <c r="E75" s="11">
        <v>122265</v>
      </c>
      <c r="F75" s="11">
        <v>120966</v>
      </c>
      <c r="G75" s="11">
        <v>121330</v>
      </c>
      <c r="H75" s="20"/>
      <c r="L75" s="5"/>
      <c r="M75" s="5"/>
      <c r="N75" s="5"/>
      <c r="O75" s="2"/>
      <c r="P75" s="2"/>
      <c r="R75" s="13" t="s">
        <v>18</v>
      </c>
      <c r="S75" s="13" t="s">
        <v>19</v>
      </c>
      <c r="T75" s="14">
        <f t="shared" si="27"/>
        <v>107.17368205966488</v>
      </c>
      <c r="U75" s="14">
        <f t="shared" si="27"/>
        <v>106.61598016188036</v>
      </c>
      <c r="V75" s="14">
        <f t="shared" si="27"/>
        <v>107.26700200384411</v>
      </c>
      <c r="W75" s="14">
        <f t="shared" si="27"/>
        <v>107.6773638873733</v>
      </c>
      <c r="X75" s="14">
        <f t="shared" si="27"/>
        <v>108.30544795186681</v>
      </c>
      <c r="Y75" s="14">
        <f t="shared" si="28"/>
        <v>85.552499999999995</v>
      </c>
      <c r="Z75" s="14">
        <f t="shared" si="28"/>
        <v>81.082499999999996</v>
      </c>
      <c r="AA75" s="14">
        <f t="shared" si="28"/>
        <v>82.5</v>
      </c>
      <c r="AB75" s="14">
        <f t="shared" si="28"/>
        <v>87.877499999999998</v>
      </c>
      <c r="AC75" s="14">
        <f t="shared" si="28"/>
        <v>83.844999999999999</v>
      </c>
      <c r="AD75" s="15"/>
    </row>
    <row r="76" spans="1:30">
      <c r="C76" s="11" t="s">
        <v>30</v>
      </c>
      <c r="D76" s="11" t="s">
        <v>30</v>
      </c>
      <c r="E76" s="11" t="s">
        <v>30</v>
      </c>
      <c r="F76" s="11" t="s">
        <v>30</v>
      </c>
      <c r="G76" s="11" t="s">
        <v>30</v>
      </c>
      <c r="L76" s="5"/>
      <c r="M76" s="5"/>
      <c r="N76" s="5"/>
      <c r="O76" s="2"/>
      <c r="P76" s="2"/>
      <c r="R76" s="13" t="s">
        <v>18</v>
      </c>
      <c r="S76" s="13" t="s">
        <v>17</v>
      </c>
      <c r="T76" s="14">
        <f t="shared" si="27"/>
        <v>100</v>
      </c>
      <c r="U76" s="14">
        <f t="shared" si="27"/>
        <v>100</v>
      </c>
      <c r="V76" s="14">
        <f t="shared" si="27"/>
        <v>100</v>
      </c>
      <c r="W76" s="14">
        <f t="shared" si="27"/>
        <v>100</v>
      </c>
      <c r="X76" s="14">
        <f t="shared" si="27"/>
        <v>100</v>
      </c>
      <c r="Y76" s="14">
        <f t="shared" si="28"/>
        <v>66.417500000000004</v>
      </c>
      <c r="Z76" s="14">
        <f t="shared" si="28"/>
        <v>66.367500000000007</v>
      </c>
      <c r="AA76" s="14">
        <f t="shared" si="28"/>
        <v>65.632499999999993</v>
      </c>
      <c r="AB76" s="14">
        <f t="shared" si="28"/>
        <v>63.487499999999997</v>
      </c>
      <c r="AC76" s="14">
        <f t="shared" si="28"/>
        <v>60.85</v>
      </c>
    </row>
    <row r="77" spans="1:30">
      <c r="A77" s="13" t="s">
        <v>28</v>
      </c>
      <c r="B77" s="13" t="s">
        <v>23</v>
      </c>
      <c r="C77" s="11">
        <v>329.78</v>
      </c>
      <c r="D77" s="11">
        <v>339.44</v>
      </c>
      <c r="E77" s="11">
        <v>358.22</v>
      </c>
      <c r="F77" s="11">
        <v>332.72</v>
      </c>
      <c r="G77" s="11">
        <v>321.25</v>
      </c>
      <c r="H77" s="20" t="s">
        <v>29</v>
      </c>
      <c r="L77" s="5"/>
      <c r="M77" s="5"/>
      <c r="N77" s="5"/>
      <c r="T77" s="1"/>
      <c r="U77" s="1"/>
      <c r="V77" s="1"/>
      <c r="W77" s="1"/>
      <c r="X77" s="1"/>
    </row>
    <row r="78" spans="1:30">
      <c r="A78" s="13" t="s">
        <v>28</v>
      </c>
      <c r="B78" s="13" t="s">
        <v>22</v>
      </c>
      <c r="C78" s="11">
        <v>246.37</v>
      </c>
      <c r="D78" s="11">
        <v>267.8</v>
      </c>
      <c r="E78" s="11">
        <v>247.59</v>
      </c>
      <c r="F78" s="11">
        <v>254.36</v>
      </c>
      <c r="G78" s="11">
        <v>247.91</v>
      </c>
      <c r="H78" s="20"/>
      <c r="L78" s="5"/>
      <c r="M78" s="5"/>
      <c r="N78" s="5"/>
      <c r="T78" s="1"/>
      <c r="U78" s="1"/>
      <c r="V78" s="1"/>
      <c r="W78" s="1"/>
      <c r="X78" s="1"/>
    </row>
    <row r="79" spans="1:30">
      <c r="A79" s="13" t="s">
        <v>28</v>
      </c>
      <c r="B79" s="13" t="s">
        <v>21</v>
      </c>
      <c r="C79" s="11">
        <v>323.26</v>
      </c>
      <c r="D79" s="11">
        <v>316.54000000000002</v>
      </c>
      <c r="E79" s="11">
        <v>323.88</v>
      </c>
      <c r="F79" s="11">
        <v>339.92</v>
      </c>
      <c r="G79" s="11">
        <v>301.79000000000002</v>
      </c>
      <c r="H79" s="20"/>
      <c r="L79" s="5"/>
      <c r="M79" s="5"/>
      <c r="N79" s="5"/>
      <c r="T79" s="1"/>
      <c r="U79" s="1"/>
      <c r="V79" s="1"/>
      <c r="W79" s="1"/>
      <c r="X79" s="1"/>
    </row>
    <row r="80" spans="1:30">
      <c r="A80" s="13" t="s">
        <v>28</v>
      </c>
      <c r="B80" s="13" t="s">
        <v>20</v>
      </c>
      <c r="C80" s="11">
        <v>318.57</v>
      </c>
      <c r="D80" s="11">
        <v>312.54000000000002</v>
      </c>
      <c r="E80" s="11">
        <v>303.19</v>
      </c>
      <c r="F80" s="11">
        <v>302.49</v>
      </c>
      <c r="G80" s="11">
        <v>311.81</v>
      </c>
      <c r="H80" s="20"/>
      <c r="L80" s="5"/>
      <c r="M80" s="5"/>
      <c r="N80" s="5"/>
      <c r="T80" s="1"/>
      <c r="U80" s="1"/>
      <c r="V80" s="1"/>
      <c r="W80" s="1"/>
      <c r="X80" s="1"/>
    </row>
    <row r="81" spans="1:24">
      <c r="A81" s="13" t="s">
        <v>28</v>
      </c>
      <c r="B81" s="13" t="s">
        <v>19</v>
      </c>
      <c r="C81" s="11">
        <v>334.83</v>
      </c>
      <c r="D81" s="11">
        <v>321.06</v>
      </c>
      <c r="E81" s="11">
        <v>351.81</v>
      </c>
      <c r="F81" s="11">
        <v>321.86</v>
      </c>
      <c r="G81" s="11">
        <v>329.49</v>
      </c>
      <c r="H81" s="20"/>
      <c r="L81" s="5"/>
      <c r="M81" s="5"/>
      <c r="N81" s="5"/>
      <c r="T81" s="1"/>
      <c r="U81" s="1"/>
      <c r="V81" s="1"/>
      <c r="W81" s="1"/>
      <c r="X81" s="1"/>
    </row>
    <row r="82" spans="1:24">
      <c r="A82" s="13" t="s">
        <v>28</v>
      </c>
      <c r="B82" s="13" t="s">
        <v>17</v>
      </c>
      <c r="C82" s="11">
        <v>232.59</v>
      </c>
      <c r="D82" s="11">
        <v>242.23</v>
      </c>
      <c r="E82" s="11">
        <v>258.13</v>
      </c>
      <c r="F82" s="11">
        <v>234.38</v>
      </c>
      <c r="G82" s="11">
        <v>242.33</v>
      </c>
      <c r="H82" s="20"/>
      <c r="L82" s="5"/>
      <c r="M82" s="5"/>
      <c r="N82" s="5"/>
      <c r="T82" s="1"/>
      <c r="U82" s="1"/>
      <c r="V82" s="1"/>
      <c r="W82" s="1"/>
      <c r="X82" s="1"/>
    </row>
    <row r="83" spans="1:24">
      <c r="A83" s="13" t="s">
        <v>27</v>
      </c>
      <c r="B83" s="13" t="s">
        <v>23</v>
      </c>
      <c r="C83" s="11">
        <v>326.75</v>
      </c>
      <c r="D83" s="11">
        <v>354.4</v>
      </c>
      <c r="E83" s="11">
        <v>330.65</v>
      </c>
      <c r="F83" s="11">
        <v>343.76</v>
      </c>
      <c r="G83" s="11">
        <v>355.3</v>
      </c>
      <c r="H83" s="20"/>
      <c r="L83" s="5"/>
      <c r="M83" s="5"/>
      <c r="N83" s="5"/>
      <c r="T83" s="1"/>
      <c r="U83" s="1"/>
      <c r="V83" s="1"/>
      <c r="W83" s="1"/>
      <c r="X83" s="1"/>
    </row>
    <row r="84" spans="1:24">
      <c r="A84" s="13" t="s">
        <v>27</v>
      </c>
      <c r="B84" s="13" t="s">
        <v>22</v>
      </c>
      <c r="C84" s="11">
        <v>245.42</v>
      </c>
      <c r="D84" s="11">
        <v>261.58</v>
      </c>
      <c r="E84" s="11">
        <v>245.5</v>
      </c>
      <c r="F84" s="11">
        <v>231</v>
      </c>
      <c r="G84" s="11">
        <v>264.5</v>
      </c>
      <c r="H84" s="20"/>
      <c r="L84" s="5"/>
      <c r="M84" s="5"/>
      <c r="N84" s="5"/>
      <c r="T84" s="1"/>
      <c r="U84" s="1"/>
      <c r="V84" s="1"/>
      <c r="W84" s="1"/>
      <c r="X84" s="1"/>
    </row>
    <row r="85" spans="1:24">
      <c r="A85" s="13" t="s">
        <v>27</v>
      </c>
      <c r="B85" s="13" t="s">
        <v>21</v>
      </c>
      <c r="C85" s="11">
        <v>291</v>
      </c>
      <c r="D85" s="11">
        <v>320.76</v>
      </c>
      <c r="E85" s="11">
        <v>281.72000000000003</v>
      </c>
      <c r="F85" s="11">
        <v>315.83999999999997</v>
      </c>
      <c r="G85" s="11">
        <v>288.27999999999997</v>
      </c>
      <c r="H85" s="20"/>
      <c r="L85" s="5"/>
      <c r="M85" s="5"/>
      <c r="N85" s="5"/>
      <c r="T85" s="1"/>
      <c r="U85" s="1"/>
      <c r="V85" s="1"/>
      <c r="W85" s="1"/>
      <c r="X85" s="1"/>
    </row>
    <row r="86" spans="1:24">
      <c r="A86" s="13" t="s">
        <v>27</v>
      </c>
      <c r="B86" s="13" t="s">
        <v>20</v>
      </c>
      <c r="C86" s="11">
        <v>288.45</v>
      </c>
      <c r="D86" s="11">
        <v>282.57</v>
      </c>
      <c r="E86" s="11">
        <v>293.74</v>
      </c>
      <c r="F86" s="11">
        <v>316.35000000000002</v>
      </c>
      <c r="G86" s="11">
        <v>293.08999999999997</v>
      </c>
      <c r="H86" s="20"/>
      <c r="L86" s="5"/>
      <c r="M86" s="5"/>
      <c r="N86" s="5"/>
      <c r="T86" s="1"/>
      <c r="U86" s="1"/>
      <c r="V86" s="1"/>
      <c r="W86" s="1"/>
      <c r="X86" s="1"/>
    </row>
    <row r="87" spans="1:24">
      <c r="A87" s="13" t="s">
        <v>27</v>
      </c>
      <c r="B87" s="13" t="s">
        <v>19</v>
      </c>
      <c r="C87" s="11">
        <v>376.1</v>
      </c>
      <c r="D87" s="11">
        <v>331.29</v>
      </c>
      <c r="E87" s="11">
        <v>341.86</v>
      </c>
      <c r="F87" s="11">
        <v>357.43</v>
      </c>
      <c r="G87" s="11">
        <v>345.43</v>
      </c>
      <c r="H87" s="20"/>
      <c r="L87" s="5"/>
      <c r="M87" s="5"/>
      <c r="N87" s="5"/>
      <c r="T87" s="1"/>
      <c r="U87" s="1"/>
      <c r="V87" s="1"/>
      <c r="W87" s="1"/>
      <c r="X87" s="1"/>
    </row>
    <row r="88" spans="1:24">
      <c r="A88" s="13" t="s">
        <v>27</v>
      </c>
      <c r="B88" s="13" t="s">
        <v>17</v>
      </c>
      <c r="C88" s="11">
        <v>229.36</v>
      </c>
      <c r="D88" s="11">
        <v>207.46</v>
      </c>
      <c r="E88" s="11">
        <v>227.46</v>
      </c>
      <c r="F88" s="11">
        <v>231.52</v>
      </c>
      <c r="G88" s="11">
        <v>216.6</v>
      </c>
      <c r="H88" s="20"/>
      <c r="L88" s="5"/>
      <c r="M88" s="5"/>
      <c r="N88" s="5"/>
      <c r="T88" s="1"/>
      <c r="U88" s="1"/>
      <c r="V88" s="1"/>
      <c r="W88" s="1"/>
      <c r="X88" s="1"/>
    </row>
    <row r="89" spans="1:24">
      <c r="A89" s="13" t="s">
        <v>26</v>
      </c>
      <c r="B89" s="13" t="s">
        <v>23</v>
      </c>
      <c r="C89" s="11">
        <v>348.64</v>
      </c>
      <c r="D89" s="11">
        <v>362.71</v>
      </c>
      <c r="E89" s="11">
        <v>356.09</v>
      </c>
      <c r="F89" s="11">
        <v>374.82</v>
      </c>
      <c r="G89" s="11">
        <v>378.36</v>
      </c>
      <c r="H89" s="20"/>
      <c r="L89" s="5"/>
      <c r="M89" s="5"/>
      <c r="N89" s="5"/>
      <c r="T89" s="1"/>
      <c r="U89" s="1"/>
      <c r="V89" s="1"/>
      <c r="W89" s="1"/>
      <c r="X89" s="1"/>
    </row>
    <row r="90" spans="1:24">
      <c r="A90" s="13" t="s">
        <v>26</v>
      </c>
      <c r="B90" s="13" t="s">
        <v>22</v>
      </c>
      <c r="C90" s="11">
        <v>253.79</v>
      </c>
      <c r="D90" s="11">
        <v>241.93</v>
      </c>
      <c r="E90" s="11">
        <v>258.41000000000003</v>
      </c>
      <c r="F90" s="11">
        <v>239</v>
      </c>
      <c r="G90" s="11">
        <v>241.93</v>
      </c>
      <c r="H90" s="20"/>
      <c r="L90" s="5"/>
      <c r="M90" s="5"/>
      <c r="N90" s="5"/>
      <c r="T90" s="1"/>
      <c r="U90" s="1"/>
      <c r="V90" s="1"/>
      <c r="W90" s="1"/>
      <c r="X90" s="1"/>
    </row>
    <row r="91" spans="1:24">
      <c r="A91" s="13" t="s">
        <v>26</v>
      </c>
      <c r="B91" s="13" t="s">
        <v>21</v>
      </c>
      <c r="C91" s="11">
        <v>282</v>
      </c>
      <c r="D91" s="11">
        <v>287.87</v>
      </c>
      <c r="E91" s="11">
        <v>300.14</v>
      </c>
      <c r="F91" s="11">
        <v>278.07</v>
      </c>
      <c r="G91" s="11">
        <v>286.45</v>
      </c>
      <c r="H91" s="20"/>
      <c r="L91" s="5"/>
      <c r="M91" s="5"/>
      <c r="N91" s="5"/>
      <c r="T91" s="1"/>
      <c r="U91" s="1"/>
      <c r="V91" s="1"/>
      <c r="W91" s="1"/>
      <c r="X91" s="1"/>
    </row>
    <row r="92" spans="1:24">
      <c r="A92" s="13" t="s">
        <v>26</v>
      </c>
      <c r="B92" s="13" t="s">
        <v>20</v>
      </c>
      <c r="C92" s="11">
        <v>265.95999999999998</v>
      </c>
      <c r="D92" s="11">
        <v>301.23</v>
      </c>
      <c r="E92" s="11">
        <v>302.54000000000002</v>
      </c>
      <c r="F92" s="11">
        <v>285.58</v>
      </c>
      <c r="G92" s="11">
        <v>282.39999999999998</v>
      </c>
      <c r="H92" s="20"/>
      <c r="L92" s="5"/>
      <c r="M92" s="5"/>
      <c r="N92" s="5"/>
      <c r="T92" s="1"/>
      <c r="U92" s="1"/>
      <c r="V92" s="1"/>
      <c r="W92" s="1"/>
      <c r="X92" s="1"/>
    </row>
    <row r="93" spans="1:24">
      <c r="A93" s="13" t="s">
        <v>26</v>
      </c>
      <c r="B93" s="13" t="s">
        <v>19</v>
      </c>
      <c r="C93" s="11">
        <v>368.91</v>
      </c>
      <c r="D93" s="11">
        <v>344.78</v>
      </c>
      <c r="E93" s="11">
        <v>361.04</v>
      </c>
      <c r="F93" s="11">
        <v>330.71</v>
      </c>
      <c r="G93" s="11">
        <v>348.96</v>
      </c>
      <c r="H93" s="20"/>
      <c r="L93" s="5"/>
      <c r="M93" s="5"/>
      <c r="N93" s="5"/>
      <c r="T93" s="1"/>
      <c r="U93" s="1"/>
      <c r="V93" s="1"/>
      <c r="W93" s="1"/>
      <c r="X93" s="1"/>
    </row>
    <row r="94" spans="1:24">
      <c r="A94" s="13" t="s">
        <v>26</v>
      </c>
      <c r="B94" s="13" t="s">
        <v>17</v>
      </c>
      <c r="C94" s="11">
        <v>210.64</v>
      </c>
      <c r="D94" s="11">
        <v>201.07</v>
      </c>
      <c r="E94" s="11">
        <v>214.97</v>
      </c>
      <c r="F94" s="11">
        <v>192.72</v>
      </c>
      <c r="G94" s="11">
        <v>196.14</v>
      </c>
      <c r="H94" s="20"/>
      <c r="L94" s="5"/>
      <c r="M94" s="5"/>
      <c r="N94" s="5"/>
      <c r="S94" s="2"/>
      <c r="T94" s="1"/>
      <c r="U94" s="1"/>
      <c r="V94" s="1"/>
      <c r="W94" s="1"/>
      <c r="X94" s="1"/>
    </row>
    <row r="95" spans="1:24">
      <c r="A95" s="13" t="s">
        <v>25</v>
      </c>
      <c r="B95" s="13" t="s">
        <v>23</v>
      </c>
      <c r="C95" s="11">
        <v>361.06</v>
      </c>
      <c r="D95" s="11">
        <v>347.33</v>
      </c>
      <c r="E95" s="11">
        <v>345.12</v>
      </c>
      <c r="F95" s="11">
        <v>338.85</v>
      </c>
      <c r="G95" s="11">
        <v>343.48</v>
      </c>
      <c r="H95" s="20"/>
      <c r="L95" s="5"/>
      <c r="M95" s="5"/>
      <c r="N95" s="5"/>
      <c r="S95" s="2"/>
      <c r="T95" s="1"/>
      <c r="U95" s="1"/>
      <c r="V95" s="1"/>
      <c r="W95" s="1"/>
      <c r="X95" s="1"/>
    </row>
    <row r="96" spans="1:24">
      <c r="A96" s="13" t="s">
        <v>25</v>
      </c>
      <c r="B96" s="13" t="s">
        <v>22</v>
      </c>
      <c r="C96" s="11">
        <v>269.93</v>
      </c>
      <c r="D96" s="11">
        <v>261.12</v>
      </c>
      <c r="E96" s="11">
        <v>261.27</v>
      </c>
      <c r="F96" s="11">
        <v>284.88</v>
      </c>
      <c r="G96" s="11">
        <v>286.98</v>
      </c>
      <c r="H96" s="20"/>
      <c r="L96" s="5"/>
      <c r="M96" s="5"/>
      <c r="N96" s="5"/>
      <c r="S96" s="2"/>
      <c r="T96" s="1"/>
      <c r="U96" s="1"/>
      <c r="V96" s="1"/>
      <c r="W96" s="1"/>
      <c r="X96" s="1"/>
    </row>
    <row r="97" spans="1:24">
      <c r="A97" s="13" t="s">
        <v>25</v>
      </c>
      <c r="B97" s="13" t="s">
        <v>21</v>
      </c>
      <c r="C97" s="11">
        <v>333.47</v>
      </c>
      <c r="D97" s="11">
        <v>325.31</v>
      </c>
      <c r="E97" s="11">
        <v>312.16000000000003</v>
      </c>
      <c r="F97" s="11">
        <v>309.45999999999998</v>
      </c>
      <c r="G97" s="11">
        <v>306.62</v>
      </c>
      <c r="H97" s="20"/>
      <c r="L97" s="5"/>
      <c r="M97" s="5"/>
      <c r="N97" s="5"/>
      <c r="S97" s="2"/>
      <c r="T97" s="1"/>
      <c r="U97" s="1"/>
      <c r="V97" s="1"/>
      <c r="W97" s="1"/>
      <c r="X97" s="1"/>
    </row>
    <row r="98" spans="1:24">
      <c r="A98" s="13" t="s">
        <v>25</v>
      </c>
      <c r="B98" s="13" t="s">
        <v>20</v>
      </c>
      <c r="C98" s="11">
        <v>312.32</v>
      </c>
      <c r="D98" s="11">
        <v>347.59</v>
      </c>
      <c r="E98" s="11">
        <v>320.26</v>
      </c>
      <c r="F98" s="11">
        <v>311.58999999999997</v>
      </c>
      <c r="G98" s="11">
        <v>329.74</v>
      </c>
      <c r="H98" s="20"/>
      <c r="L98" s="5"/>
      <c r="M98" s="5"/>
      <c r="N98" s="5"/>
      <c r="S98" s="2"/>
      <c r="T98" s="1"/>
      <c r="U98" s="1"/>
      <c r="V98" s="1"/>
      <c r="W98" s="1"/>
      <c r="X98" s="1"/>
    </row>
    <row r="99" spans="1:24">
      <c r="A99" s="13" t="s">
        <v>25</v>
      </c>
      <c r="B99" s="13" t="s">
        <v>19</v>
      </c>
      <c r="C99" s="11">
        <v>349.31</v>
      </c>
      <c r="D99" s="11">
        <v>347.7</v>
      </c>
      <c r="E99" s="11">
        <v>364.25</v>
      </c>
      <c r="F99" s="11">
        <v>351.48</v>
      </c>
      <c r="G99" s="11">
        <v>330.3</v>
      </c>
      <c r="H99" s="20"/>
      <c r="L99" s="5"/>
      <c r="M99" s="5"/>
      <c r="N99" s="5"/>
      <c r="S99" s="2"/>
      <c r="T99" s="1"/>
      <c r="U99" s="1"/>
      <c r="V99" s="1"/>
      <c r="W99" s="1"/>
      <c r="X99" s="1"/>
    </row>
    <row r="100" spans="1:24">
      <c r="A100" s="13" t="s">
        <v>25</v>
      </c>
      <c r="B100" s="13" t="s">
        <v>17</v>
      </c>
      <c r="C100" s="11">
        <v>265.17</v>
      </c>
      <c r="D100" s="11">
        <v>252.08</v>
      </c>
      <c r="E100" s="11">
        <v>272.19</v>
      </c>
      <c r="F100" s="11">
        <v>250.86</v>
      </c>
      <c r="G100" s="11">
        <v>264.94</v>
      </c>
      <c r="H100" s="20"/>
      <c r="L100" s="5"/>
      <c r="M100" s="5"/>
      <c r="N100" s="5"/>
      <c r="S100" s="2"/>
      <c r="T100" s="1"/>
      <c r="U100" s="1"/>
      <c r="V100" s="1"/>
      <c r="W100" s="1"/>
      <c r="X100" s="1"/>
    </row>
    <row r="101" spans="1:24">
      <c r="A101" s="13" t="s">
        <v>24</v>
      </c>
      <c r="B101" s="13" t="s">
        <v>23</v>
      </c>
      <c r="C101" s="11">
        <v>344.65</v>
      </c>
      <c r="D101" s="11">
        <v>368.54</v>
      </c>
      <c r="E101" s="11">
        <v>332.92</v>
      </c>
      <c r="F101" s="11">
        <v>365.16</v>
      </c>
      <c r="G101" s="11">
        <v>329.58</v>
      </c>
      <c r="H101" s="20"/>
      <c r="L101" s="5"/>
      <c r="M101" s="5"/>
      <c r="N101" s="5"/>
      <c r="S101" s="2"/>
      <c r="T101" s="1"/>
      <c r="U101" s="1"/>
      <c r="V101" s="1"/>
      <c r="W101" s="1"/>
      <c r="X101" s="1"/>
    </row>
    <row r="102" spans="1:24">
      <c r="A102" s="13" t="s">
        <v>24</v>
      </c>
      <c r="B102" s="13" t="s">
        <v>22</v>
      </c>
      <c r="C102" s="11">
        <v>274.07</v>
      </c>
      <c r="D102" s="11">
        <v>288.69</v>
      </c>
      <c r="E102" s="11">
        <v>263.58999999999997</v>
      </c>
      <c r="F102" s="11">
        <v>263.76</v>
      </c>
      <c r="G102" s="11">
        <v>266.76</v>
      </c>
      <c r="H102" s="20"/>
      <c r="L102" s="5"/>
      <c r="M102" s="5"/>
      <c r="N102" s="5"/>
      <c r="S102" s="2"/>
      <c r="T102" s="1"/>
      <c r="U102" s="1"/>
      <c r="V102" s="1"/>
      <c r="W102" s="1"/>
      <c r="X102" s="1"/>
    </row>
    <row r="103" spans="1:24">
      <c r="A103" s="13" t="s">
        <v>24</v>
      </c>
      <c r="B103" s="13" t="s">
        <v>21</v>
      </c>
      <c r="C103" s="11">
        <v>283.73</v>
      </c>
      <c r="D103" s="11">
        <v>266.27</v>
      </c>
      <c r="E103" s="11">
        <v>267.02999999999997</v>
      </c>
      <c r="F103" s="11">
        <v>273.27</v>
      </c>
      <c r="G103" s="11">
        <v>275.39999999999998</v>
      </c>
      <c r="H103" s="20"/>
      <c r="L103" s="5"/>
      <c r="M103" s="5"/>
      <c r="N103" s="5"/>
      <c r="S103" s="2"/>
      <c r="T103" s="1"/>
      <c r="U103" s="1"/>
      <c r="V103" s="1"/>
      <c r="W103" s="1"/>
      <c r="X103" s="1"/>
    </row>
    <row r="104" spans="1:24">
      <c r="A104" s="13" t="s">
        <v>24</v>
      </c>
      <c r="B104" s="13" t="s">
        <v>20</v>
      </c>
      <c r="C104" s="11">
        <v>292.37</v>
      </c>
      <c r="D104" s="11">
        <v>327.58999999999997</v>
      </c>
      <c r="E104" s="11">
        <v>287.93</v>
      </c>
      <c r="F104" s="11">
        <v>305.35000000000002</v>
      </c>
      <c r="G104" s="11">
        <v>300.35000000000002</v>
      </c>
      <c r="H104" s="20"/>
      <c r="L104" s="5"/>
      <c r="M104" s="5"/>
      <c r="N104" s="5"/>
      <c r="S104" s="2"/>
      <c r="T104" s="1"/>
      <c r="U104" s="1"/>
      <c r="V104" s="1"/>
      <c r="W104" s="1"/>
      <c r="X104" s="1"/>
    </row>
    <row r="105" spans="1:24">
      <c r="A105" s="13" t="s">
        <v>24</v>
      </c>
      <c r="B105" s="13" t="s">
        <v>19</v>
      </c>
      <c r="C105" s="11">
        <v>332.96</v>
      </c>
      <c r="D105" s="11">
        <v>324.8</v>
      </c>
      <c r="E105" s="11">
        <v>327.81</v>
      </c>
      <c r="F105" s="11">
        <v>331.69</v>
      </c>
      <c r="G105" s="11">
        <v>361.92</v>
      </c>
      <c r="H105" s="20"/>
      <c r="L105" s="5"/>
      <c r="M105" s="5"/>
      <c r="N105" s="5"/>
      <c r="S105" s="2"/>
      <c r="T105" s="1"/>
      <c r="U105" s="1"/>
      <c r="V105" s="1"/>
      <c r="W105" s="1"/>
      <c r="X105" s="1"/>
    </row>
    <row r="106" spans="1:24">
      <c r="A106" s="13" t="s">
        <v>24</v>
      </c>
      <c r="B106" s="13" t="s">
        <v>17</v>
      </c>
      <c r="C106" s="11">
        <v>256</v>
      </c>
      <c r="D106" s="11">
        <v>254.5</v>
      </c>
      <c r="E106" s="11">
        <v>250.5</v>
      </c>
      <c r="F106" s="11">
        <v>239.86</v>
      </c>
      <c r="G106" s="11">
        <v>253.56</v>
      </c>
      <c r="H106" s="20"/>
      <c r="L106" s="5"/>
      <c r="M106" s="5"/>
      <c r="N106" s="5"/>
      <c r="S106" s="2"/>
      <c r="T106" s="1"/>
      <c r="U106" s="1"/>
      <c r="V106" s="1"/>
      <c r="W106" s="1"/>
      <c r="X106" s="1"/>
    </row>
    <row r="107" spans="1:24">
      <c r="A107" s="13" t="s">
        <v>18</v>
      </c>
      <c r="B107" s="13" t="s">
        <v>23</v>
      </c>
      <c r="C107" s="11">
        <v>329.9</v>
      </c>
      <c r="D107" s="11">
        <v>329.8</v>
      </c>
      <c r="E107" s="11">
        <v>337.82</v>
      </c>
      <c r="F107" s="11">
        <v>329.88</v>
      </c>
      <c r="G107" s="11">
        <v>333</v>
      </c>
      <c r="H107" s="20"/>
      <c r="L107" s="5"/>
      <c r="M107" s="5"/>
      <c r="N107" s="5"/>
      <c r="S107" s="2"/>
      <c r="T107" s="1"/>
      <c r="U107" s="1"/>
      <c r="V107" s="1"/>
      <c r="W107" s="1"/>
      <c r="X107" s="1"/>
    </row>
    <row r="108" spans="1:24">
      <c r="A108" s="13" t="s">
        <v>18</v>
      </c>
      <c r="B108" s="13" t="s">
        <v>22</v>
      </c>
      <c r="C108" s="11">
        <v>261.81</v>
      </c>
      <c r="D108" s="11">
        <v>263.33999999999997</v>
      </c>
      <c r="E108" s="11">
        <v>262.14999999999998</v>
      </c>
      <c r="F108" s="11">
        <v>259.29000000000002</v>
      </c>
      <c r="G108" s="11">
        <v>260.56</v>
      </c>
      <c r="H108" s="20"/>
      <c r="L108" s="5"/>
      <c r="M108" s="5"/>
      <c r="N108" s="5"/>
      <c r="S108" s="2"/>
      <c r="T108" s="1"/>
      <c r="U108" s="1"/>
      <c r="V108" s="1"/>
      <c r="W108" s="1"/>
      <c r="X108" s="1"/>
    </row>
    <row r="109" spans="1:24">
      <c r="A109" s="13" t="s">
        <v>18</v>
      </c>
      <c r="B109" s="13" t="s">
        <v>21</v>
      </c>
      <c r="C109" s="11">
        <v>332.09</v>
      </c>
      <c r="D109" s="11">
        <v>337.65</v>
      </c>
      <c r="E109" s="11">
        <v>340.26</v>
      </c>
      <c r="F109" s="11">
        <v>319.95</v>
      </c>
      <c r="G109" s="11">
        <v>327.61</v>
      </c>
      <c r="H109" s="20"/>
      <c r="L109" s="5"/>
      <c r="M109" s="5"/>
      <c r="N109" s="5"/>
      <c r="S109" s="2"/>
      <c r="T109" s="1"/>
      <c r="U109" s="1"/>
      <c r="V109" s="1"/>
      <c r="W109" s="1"/>
      <c r="X109" s="1"/>
    </row>
    <row r="110" spans="1:24">
      <c r="A110" s="13" t="s">
        <v>18</v>
      </c>
      <c r="B110" s="13" t="s">
        <v>20</v>
      </c>
      <c r="C110" s="11">
        <v>328.2</v>
      </c>
      <c r="D110" s="11">
        <v>328.52</v>
      </c>
      <c r="E110" s="11">
        <v>315.12</v>
      </c>
      <c r="F110" s="11">
        <v>306.77</v>
      </c>
      <c r="G110" s="11">
        <v>330.68</v>
      </c>
      <c r="H110" s="20"/>
      <c r="L110" s="5"/>
      <c r="M110" s="5"/>
      <c r="N110" s="5"/>
      <c r="S110" s="2"/>
      <c r="T110" s="1"/>
      <c r="U110" s="1"/>
      <c r="V110" s="1"/>
      <c r="W110" s="1"/>
      <c r="X110" s="1"/>
    </row>
    <row r="111" spans="1:24">
      <c r="A111" s="13" t="s">
        <v>18</v>
      </c>
      <c r="B111" s="13" t="s">
        <v>19</v>
      </c>
      <c r="C111" s="11">
        <v>342.21</v>
      </c>
      <c r="D111" s="11">
        <v>324.33</v>
      </c>
      <c r="E111" s="11">
        <v>330</v>
      </c>
      <c r="F111" s="11">
        <v>351.51</v>
      </c>
      <c r="G111" s="11">
        <v>335.38</v>
      </c>
      <c r="H111" s="20"/>
      <c r="L111" s="5"/>
      <c r="M111" s="5"/>
      <c r="N111" s="5"/>
      <c r="S111" s="2"/>
      <c r="T111" s="1"/>
      <c r="U111" s="1"/>
      <c r="V111" s="1"/>
      <c r="W111" s="1"/>
      <c r="X111" s="1"/>
    </row>
    <row r="112" spans="1:24">
      <c r="A112" s="13" t="s">
        <v>18</v>
      </c>
      <c r="B112" s="13" t="s">
        <v>17</v>
      </c>
      <c r="C112" s="11">
        <v>265.67</v>
      </c>
      <c r="D112" s="11">
        <v>265.47000000000003</v>
      </c>
      <c r="E112" s="11">
        <v>262.52999999999997</v>
      </c>
      <c r="F112" s="11">
        <v>253.95</v>
      </c>
      <c r="G112" s="11">
        <v>243.4</v>
      </c>
      <c r="H112" s="20"/>
      <c r="S112" s="2"/>
      <c r="T112" s="1"/>
      <c r="U112" s="1"/>
      <c r="V112" s="1"/>
      <c r="W112" s="1"/>
      <c r="X112" s="1"/>
    </row>
    <row r="113" spans="2:24">
      <c r="S113" s="2"/>
      <c r="T113" s="1"/>
      <c r="U113" s="1"/>
      <c r="V113" s="1"/>
      <c r="W113" s="1"/>
      <c r="X113" s="1"/>
    </row>
    <row r="114" spans="2:24">
      <c r="S114" s="2"/>
      <c r="T114" s="1"/>
      <c r="U114" s="1"/>
      <c r="V114" s="1"/>
      <c r="W114" s="1"/>
      <c r="X114" s="1"/>
    </row>
    <row r="115" spans="2:24">
      <c r="S115" s="2"/>
      <c r="T115" s="1"/>
      <c r="U115" s="1"/>
      <c r="V115" s="1"/>
      <c r="W115" s="1"/>
      <c r="X115" s="1"/>
    </row>
    <row r="116" spans="2:24">
      <c r="S116" s="2"/>
      <c r="T116" s="1"/>
      <c r="U116" s="1"/>
      <c r="V116" s="1"/>
      <c r="W116" s="1"/>
      <c r="X116" s="1"/>
    </row>
    <row r="117" spans="2:24">
      <c r="S117" s="2"/>
      <c r="T117" s="1"/>
      <c r="U117" s="1"/>
      <c r="V117" s="1"/>
      <c r="W117" s="1"/>
      <c r="X117" s="1"/>
    </row>
    <row r="118" spans="2:24">
      <c r="S118" s="2"/>
      <c r="T118" s="1"/>
      <c r="U118" s="1"/>
      <c r="V118" s="1"/>
      <c r="W118" s="1"/>
      <c r="X118" s="1"/>
    </row>
    <row r="119" spans="2:24">
      <c r="B119" s="12"/>
      <c r="C119" s="12"/>
      <c r="D119" s="12"/>
      <c r="E119" s="12"/>
      <c r="F119" s="12"/>
      <c r="G119" s="12"/>
      <c r="S119" s="2"/>
      <c r="T119" s="1"/>
      <c r="U119" s="1"/>
      <c r="V119" s="1"/>
      <c r="W119" s="1"/>
      <c r="X119" s="1"/>
    </row>
    <row r="120" spans="2:24">
      <c r="B120" s="12"/>
      <c r="C120" s="12"/>
      <c r="D120" s="12"/>
      <c r="E120" s="12"/>
      <c r="F120" s="12"/>
      <c r="G120" s="12"/>
      <c r="S120" s="2"/>
      <c r="T120" s="1"/>
      <c r="U120" s="1"/>
      <c r="V120" s="1"/>
      <c r="W120" s="1"/>
      <c r="X120" s="1"/>
    </row>
    <row r="121" spans="2:24">
      <c r="B121" s="12"/>
      <c r="C121" s="12"/>
      <c r="D121" s="12"/>
      <c r="E121" s="12"/>
      <c r="F121" s="12"/>
      <c r="G121" s="12"/>
      <c r="S121" s="2"/>
      <c r="T121" s="1"/>
      <c r="U121" s="1"/>
      <c r="V121" s="1"/>
      <c r="W121" s="1"/>
      <c r="X121" s="1"/>
    </row>
    <row r="122" spans="2:24">
      <c r="B122" s="12"/>
      <c r="C122" s="12"/>
      <c r="D122" s="12"/>
      <c r="E122" s="12"/>
      <c r="F122" s="12"/>
      <c r="G122" s="12"/>
      <c r="S122" s="2"/>
      <c r="T122" s="1"/>
      <c r="U122" s="1"/>
      <c r="V122" s="1"/>
      <c r="W122" s="1"/>
      <c r="X122" s="1"/>
    </row>
    <row r="123" spans="2:24">
      <c r="B123" s="12"/>
      <c r="C123" s="12"/>
      <c r="D123" s="12"/>
      <c r="E123" s="12"/>
      <c r="F123" s="12"/>
      <c r="G123" s="12"/>
      <c r="S123" s="2"/>
      <c r="T123" s="1"/>
      <c r="U123" s="1"/>
      <c r="V123" s="1"/>
      <c r="W123" s="1"/>
      <c r="X123" s="1"/>
    </row>
    <row r="124" spans="2:24">
      <c r="B124" s="12"/>
      <c r="C124" s="12"/>
      <c r="D124" s="12"/>
      <c r="E124" s="12"/>
      <c r="F124" s="12"/>
      <c r="G124" s="12"/>
      <c r="S124" s="2"/>
      <c r="T124" s="1"/>
      <c r="U124" s="1"/>
      <c r="V124" s="1"/>
      <c r="W124" s="1"/>
      <c r="X124" s="1"/>
    </row>
    <row r="125" spans="2:24">
      <c r="B125" s="12"/>
      <c r="C125" s="12"/>
      <c r="D125" s="12"/>
      <c r="E125" s="12"/>
      <c r="F125" s="12"/>
      <c r="G125" s="12"/>
      <c r="S125" s="2"/>
      <c r="T125" s="1"/>
      <c r="U125" s="1"/>
      <c r="V125" s="1"/>
      <c r="W125" s="1"/>
      <c r="X125" s="1"/>
    </row>
    <row r="126" spans="2:24">
      <c r="S126" s="2"/>
      <c r="T126" s="1"/>
      <c r="U126" s="1"/>
      <c r="V126" s="1"/>
      <c r="W126" s="1"/>
      <c r="X126" s="1"/>
    </row>
    <row r="127" spans="2:24">
      <c r="S127" s="2"/>
      <c r="T127" s="1"/>
      <c r="U127" s="1"/>
      <c r="V127" s="1"/>
      <c r="W127" s="1"/>
      <c r="X127" s="1"/>
    </row>
    <row r="128" spans="2:24">
      <c r="B128" s="12"/>
      <c r="C128" s="12"/>
      <c r="D128" s="12"/>
      <c r="E128" s="12"/>
      <c r="T128" s="1"/>
      <c r="U128" s="1"/>
      <c r="V128" s="1"/>
      <c r="W128" s="1"/>
      <c r="X128" s="1"/>
    </row>
    <row r="129" spans="2:24">
      <c r="B129" s="12"/>
      <c r="C129" s="12"/>
      <c r="D129" s="12"/>
      <c r="E129" s="12"/>
      <c r="T129" s="1"/>
      <c r="U129" s="1"/>
      <c r="V129" s="1"/>
      <c r="W129" s="1"/>
      <c r="X129" s="1"/>
    </row>
    <row r="130" spans="2:24">
      <c r="B130" s="12"/>
      <c r="C130" s="12"/>
      <c r="D130" s="12"/>
      <c r="E130" s="12"/>
      <c r="T130" s="1"/>
      <c r="U130" s="1"/>
      <c r="V130" s="1"/>
      <c r="W130" s="1"/>
      <c r="X130" s="1"/>
    </row>
    <row r="131" spans="2:24">
      <c r="B131" s="12"/>
      <c r="C131" s="12"/>
      <c r="D131" s="12"/>
      <c r="E131" s="12"/>
      <c r="T131" s="1"/>
      <c r="U131" s="1"/>
      <c r="V131" s="1"/>
      <c r="W131" s="1"/>
      <c r="X131" s="1"/>
    </row>
    <row r="132" spans="2:24">
      <c r="B132" s="12"/>
      <c r="C132" s="12"/>
      <c r="D132" s="12"/>
      <c r="E132" s="12"/>
      <c r="T132" s="1"/>
      <c r="U132" s="1"/>
      <c r="V132" s="1"/>
      <c r="W132" s="1"/>
      <c r="X132" s="1"/>
    </row>
    <row r="133" spans="2:24">
      <c r="B133" s="12"/>
      <c r="C133" s="12"/>
      <c r="D133" s="12"/>
      <c r="E133" s="12"/>
      <c r="T133" s="1"/>
      <c r="U133" s="1"/>
      <c r="V133" s="1"/>
      <c r="W133" s="1"/>
      <c r="X133" s="1"/>
    </row>
    <row r="134" spans="2:24">
      <c r="T134" s="1"/>
      <c r="U134" s="1"/>
      <c r="V134" s="1"/>
      <c r="W134" s="1"/>
      <c r="X134" s="1"/>
    </row>
    <row r="135" spans="2:24">
      <c r="T135" s="1"/>
      <c r="U135" s="1"/>
      <c r="V135" s="1"/>
      <c r="W135" s="1"/>
      <c r="X135" s="1"/>
    </row>
    <row r="136" spans="2:24">
      <c r="T136" s="1"/>
      <c r="U136" s="1"/>
      <c r="V136" s="1"/>
      <c r="W136" s="1"/>
      <c r="X136" s="1"/>
    </row>
    <row r="137" spans="2:24">
      <c r="T137" s="1"/>
      <c r="U137" s="1"/>
      <c r="V137" s="1"/>
      <c r="W137" s="1"/>
      <c r="X137" s="1"/>
    </row>
    <row r="138" spans="2:24">
      <c r="T138" s="1"/>
      <c r="U138" s="1"/>
      <c r="V138" s="1"/>
      <c r="W138" s="1"/>
      <c r="X138" s="1"/>
    </row>
    <row r="139" spans="2:24">
      <c r="T139" s="1"/>
      <c r="U139" s="1"/>
      <c r="V139" s="1"/>
      <c r="W139" s="1"/>
      <c r="X139" s="1"/>
    </row>
    <row r="140" spans="2:24">
      <c r="T140" s="1"/>
      <c r="U140" s="1"/>
      <c r="V140" s="1"/>
      <c r="W140" s="1"/>
      <c r="X140" s="1"/>
    </row>
    <row r="141" spans="2:24">
      <c r="T141" s="1"/>
      <c r="U141" s="1"/>
      <c r="V141" s="1"/>
      <c r="W141" s="1"/>
      <c r="X141" s="1"/>
    </row>
    <row r="142" spans="2:24">
      <c r="T142" s="1"/>
      <c r="U142" s="1"/>
      <c r="V142" s="1"/>
      <c r="W142" s="1"/>
      <c r="X142" s="1"/>
    </row>
    <row r="143" spans="2:24">
      <c r="T143" s="1"/>
      <c r="U143" s="1"/>
      <c r="V143" s="1"/>
      <c r="W143" s="1"/>
      <c r="X143" s="1"/>
    </row>
    <row r="144" spans="2:24">
      <c r="T144" s="1"/>
      <c r="U144" s="1"/>
      <c r="V144" s="1"/>
      <c r="W144" s="1"/>
      <c r="X144" s="1"/>
    </row>
    <row r="145" spans="20:24">
      <c r="T145" s="1"/>
      <c r="U145" s="1"/>
      <c r="V145" s="1"/>
      <c r="W145" s="1"/>
      <c r="X145" s="1"/>
    </row>
    <row r="146" spans="20:24">
      <c r="T146" s="1"/>
      <c r="U146" s="1"/>
      <c r="V146" s="1"/>
      <c r="W146" s="1"/>
      <c r="X146" s="1"/>
    </row>
    <row r="147" spans="20:24">
      <c r="T147" s="1"/>
      <c r="U147" s="1"/>
      <c r="V147" s="1"/>
      <c r="W147" s="1"/>
      <c r="X147" s="1"/>
    </row>
    <row r="148" spans="20:24">
      <c r="T148" s="1"/>
      <c r="U148" s="1"/>
      <c r="V148" s="1"/>
      <c r="W148" s="1"/>
      <c r="X148" s="1"/>
    </row>
    <row r="149" spans="20:24">
      <c r="T149" s="1"/>
      <c r="U149" s="1"/>
      <c r="V149" s="1"/>
      <c r="W149" s="1"/>
      <c r="X149" s="1"/>
    </row>
    <row r="150" spans="20:24">
      <c r="T150" s="1"/>
      <c r="U150" s="1"/>
      <c r="V150" s="1"/>
      <c r="W150" s="1"/>
      <c r="X150" s="1"/>
    </row>
    <row r="151" spans="20:24">
      <c r="T151" s="1"/>
      <c r="U151" s="1"/>
      <c r="V151" s="1"/>
      <c r="W151" s="1"/>
      <c r="X151" s="1"/>
    </row>
    <row r="152" spans="20:24">
      <c r="T152" s="1"/>
      <c r="U152" s="1"/>
      <c r="V152" s="1"/>
      <c r="W152" s="1"/>
      <c r="X152" s="1"/>
    </row>
    <row r="153" spans="20:24">
      <c r="T153" s="1"/>
      <c r="U153" s="1"/>
      <c r="V153" s="1"/>
      <c r="W153" s="1"/>
      <c r="X153" s="1"/>
    </row>
  </sheetData>
  <mergeCells count="2">
    <mergeCell ref="H40:H75"/>
    <mergeCell ref="H77:H112"/>
  </mergeCells>
  <pageMargins left="0.7" right="0.7" top="0.75" bottom="0.75" header="0.3" footer="0.3"/>
  <pageSetup paperSize="9"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B87C-9092-A44D-B05E-3E36370E9E68}">
  <dimension ref="A1:AG153"/>
  <sheetViews>
    <sheetView zoomScaleNormal="100" workbookViewId="0">
      <selection activeCell="O8" sqref="O8"/>
    </sheetView>
  </sheetViews>
  <sheetFormatPr defaultColWidth="10.6640625" defaultRowHeight="15.7"/>
  <cols>
    <col min="19" max="19" width="13.1640625" customWidth="1"/>
    <col min="30" max="31" width="13.6640625" bestFit="1" customWidth="1"/>
  </cols>
  <sheetData>
    <row r="1" spans="1:33">
      <c r="A1" t="s">
        <v>45</v>
      </c>
      <c r="B1" t="s">
        <v>17</v>
      </c>
      <c r="C1" t="s">
        <v>23</v>
      </c>
      <c r="D1" t="s">
        <v>31</v>
      </c>
      <c r="E1" t="s">
        <v>21</v>
      </c>
      <c r="F1" t="s">
        <v>20</v>
      </c>
      <c r="G1" t="s">
        <v>19</v>
      </c>
      <c r="N1" s="13"/>
      <c r="O1" s="13"/>
      <c r="P1" s="21" t="s">
        <v>70</v>
      </c>
      <c r="Q1" s="13" t="s">
        <v>52</v>
      </c>
      <c r="R1" s="13" t="s">
        <v>51</v>
      </c>
      <c r="S1" s="13" t="s">
        <v>50</v>
      </c>
      <c r="T1" s="3"/>
      <c r="U1" s="3"/>
      <c r="V1" s="3"/>
      <c r="W1" s="3"/>
      <c r="X1" s="3"/>
      <c r="Y1" s="3"/>
      <c r="Z1" s="3"/>
      <c r="AA1" s="3"/>
      <c r="AB1" s="3"/>
      <c r="AC1" s="3"/>
      <c r="AD1" t="s">
        <v>49</v>
      </c>
      <c r="AE1" t="s">
        <v>48</v>
      </c>
    </row>
    <row r="2" spans="1:33" ht="18" customHeight="1">
      <c r="A2" t="s">
        <v>28</v>
      </c>
      <c r="B2">
        <f>Q7</f>
        <v>58645</v>
      </c>
      <c r="C2">
        <f>Q2</f>
        <v>58588.520000000004</v>
      </c>
      <c r="D2">
        <f>Q3</f>
        <v>60282.14</v>
      </c>
      <c r="E2">
        <f>Q4</f>
        <v>59076.340000000004</v>
      </c>
      <c r="F2">
        <f>Q5</f>
        <v>60034.719999999994</v>
      </c>
      <c r="G2">
        <f>Q6</f>
        <v>60939.5</v>
      </c>
      <c r="N2" s="13" t="s">
        <v>43</v>
      </c>
      <c r="O2" s="13" t="s">
        <v>28</v>
      </c>
      <c r="P2" s="13" t="s">
        <v>23</v>
      </c>
      <c r="Q2" s="22">
        <f t="shared" ref="Q2:Q37" si="0">AVERAGE(T2:X2)</f>
        <v>58588.520000000004</v>
      </c>
      <c r="R2" s="22">
        <f t="shared" ref="R2:R37" si="1">AVERAGE(Y2:AC2)</f>
        <v>348.16800000000001</v>
      </c>
      <c r="S2" s="16">
        <f t="shared" ref="S2:S37" si="2">3000000/Q2</f>
        <v>51.204570451685754</v>
      </c>
      <c r="T2" s="2">
        <f t="shared" ref="T2:T37" si="3">C40</f>
        <v>58167.6</v>
      </c>
      <c r="U2" s="2">
        <f t="shared" ref="U2:U37" si="4">D40</f>
        <v>58533.4</v>
      </c>
      <c r="V2" s="2">
        <f t="shared" ref="V2:V37" si="5">E40</f>
        <v>58712.7</v>
      </c>
      <c r="W2" s="2">
        <f t="shared" ref="W2:W37" si="6">F40</f>
        <v>58879</v>
      </c>
      <c r="X2" s="2">
        <f t="shared" ref="X2:X37" si="7">G40</f>
        <v>58649.9</v>
      </c>
      <c r="Y2" s="2">
        <f t="shared" ref="Y2:Y37" si="8">C77</f>
        <v>344.85</v>
      </c>
      <c r="Z2" s="2">
        <f t="shared" ref="Z2:Z37" si="9">D77</f>
        <v>338.49</v>
      </c>
      <c r="AA2" s="2">
        <f t="shared" ref="AA2:AA37" si="10">E77</f>
        <v>347.48</v>
      </c>
      <c r="AB2" s="2">
        <f t="shared" ref="AB2:AB37" si="11">F77</f>
        <v>355.15</v>
      </c>
      <c r="AC2" s="2">
        <f t="shared" ref="AC2:AC37" si="12">G77</f>
        <v>354.87</v>
      </c>
      <c r="AD2" s="1">
        <f t="shared" ref="AD2:AD37" si="13">STDEV(T41:X41)</f>
        <v>0.39769346111683024</v>
      </c>
      <c r="AE2" s="1">
        <f t="shared" ref="AE2:AE37" si="14">STDEV(Y41:AC41)</f>
        <v>1.7625056737497302</v>
      </c>
      <c r="AF2" s="13" t="s">
        <v>23</v>
      </c>
      <c r="AG2" s="2"/>
    </row>
    <row r="3" spans="1:33">
      <c r="A3" t="s">
        <v>27</v>
      </c>
      <c r="B3">
        <f>Q13</f>
        <v>71754.51999999999</v>
      </c>
      <c r="C3">
        <f>Q8</f>
        <v>74275.360000000015</v>
      </c>
      <c r="D3">
        <f>Q9</f>
        <v>74067.14</v>
      </c>
      <c r="E3">
        <f>Q10</f>
        <v>72246.98</v>
      </c>
      <c r="F3">
        <f>Q11</f>
        <v>73713.299999999988</v>
      </c>
      <c r="G3">
        <f>Q12</f>
        <v>75539.179999999978</v>
      </c>
      <c r="H3" t="s">
        <v>47</v>
      </c>
      <c r="N3" s="13" t="s">
        <v>42</v>
      </c>
      <c r="O3" s="13" t="s">
        <v>28</v>
      </c>
      <c r="P3" s="13" t="s">
        <v>22</v>
      </c>
      <c r="Q3" s="22">
        <f t="shared" si="0"/>
        <v>60282.14</v>
      </c>
      <c r="R3" s="22">
        <f t="shared" si="1"/>
        <v>212.11199999999999</v>
      </c>
      <c r="S3" s="16">
        <f t="shared" si="2"/>
        <v>49.765983755719354</v>
      </c>
      <c r="T3" s="2">
        <f t="shared" si="3"/>
        <v>60361.599999999999</v>
      </c>
      <c r="U3" s="2">
        <f t="shared" si="4"/>
        <v>60195.199999999997</v>
      </c>
      <c r="V3" s="2">
        <f t="shared" si="5"/>
        <v>60356.1</v>
      </c>
      <c r="W3" s="2">
        <f t="shared" si="6"/>
        <v>60332.800000000003</v>
      </c>
      <c r="X3" s="2">
        <f t="shared" si="7"/>
        <v>60165</v>
      </c>
      <c r="Y3" s="2">
        <f t="shared" si="8"/>
        <v>219.03</v>
      </c>
      <c r="Z3" s="2">
        <f t="shared" si="9"/>
        <v>213.21</v>
      </c>
      <c r="AA3" s="2">
        <f t="shared" si="10"/>
        <v>207.15</v>
      </c>
      <c r="AB3" s="2">
        <f t="shared" si="11"/>
        <v>211.51</v>
      </c>
      <c r="AC3" s="2">
        <f t="shared" si="12"/>
        <v>209.66</v>
      </c>
      <c r="AD3" s="1">
        <f t="shared" si="13"/>
        <v>0.361964194041686</v>
      </c>
      <c r="AE3" s="1">
        <f t="shared" si="14"/>
        <v>1.1184565257532364</v>
      </c>
      <c r="AF3" s="13" t="s">
        <v>22</v>
      </c>
      <c r="AG3" s="2"/>
    </row>
    <row r="4" spans="1:33">
      <c r="A4" t="s">
        <v>26</v>
      </c>
      <c r="B4">
        <f>Q19</f>
        <v>57237.839999999989</v>
      </c>
      <c r="C4">
        <f>Q14</f>
        <v>58577.240000000005</v>
      </c>
      <c r="D4">
        <f>Q15</f>
        <v>57385.14</v>
      </c>
      <c r="E4">
        <f>Q16</f>
        <v>57773.5</v>
      </c>
      <c r="F4">
        <f>Q17</f>
        <v>58696.819999999992</v>
      </c>
      <c r="G4">
        <f>Q18</f>
        <v>60469.14</v>
      </c>
      <c r="N4" s="13"/>
      <c r="O4" s="13" t="s">
        <v>28</v>
      </c>
      <c r="P4" s="13" t="s">
        <v>21</v>
      </c>
      <c r="Q4" s="22">
        <f t="shared" si="0"/>
        <v>59076.340000000004</v>
      </c>
      <c r="R4" s="22">
        <f t="shared" si="1"/>
        <v>163.17599999999999</v>
      </c>
      <c r="S4" s="16">
        <f t="shared" si="2"/>
        <v>50.781751205304865</v>
      </c>
      <c r="T4" s="2">
        <f t="shared" si="3"/>
        <v>58779.1</v>
      </c>
      <c r="U4" s="2">
        <f t="shared" si="4"/>
        <v>58763.7</v>
      </c>
      <c r="V4" s="2">
        <f t="shared" si="5"/>
        <v>58915.5</v>
      </c>
      <c r="W4" s="2">
        <f t="shared" si="6"/>
        <v>58388.1</v>
      </c>
      <c r="X4" s="2">
        <f t="shared" si="7"/>
        <v>60535.3</v>
      </c>
      <c r="Y4" s="2">
        <f t="shared" si="8"/>
        <v>161.15</v>
      </c>
      <c r="Z4" s="2">
        <f t="shared" si="9"/>
        <v>159.35</v>
      </c>
      <c r="AA4" s="2">
        <f t="shared" si="10"/>
        <v>167.92</v>
      </c>
      <c r="AB4" s="2">
        <f t="shared" si="11"/>
        <v>157.77000000000001</v>
      </c>
      <c r="AC4" s="2">
        <f t="shared" si="12"/>
        <v>169.69</v>
      </c>
      <c r="AD4" s="1">
        <f t="shared" si="13"/>
        <v>1.3864735515457873</v>
      </c>
      <c r="AE4" s="1">
        <f t="shared" si="14"/>
        <v>1.3282126147571391</v>
      </c>
      <c r="AF4" s="13" t="s">
        <v>21</v>
      </c>
      <c r="AG4" s="2"/>
    </row>
    <row r="5" spans="1:33">
      <c r="A5" t="s">
        <v>25</v>
      </c>
      <c r="B5">
        <f>Q25</f>
        <v>173980</v>
      </c>
      <c r="C5">
        <f>Q20</f>
        <v>176576</v>
      </c>
      <c r="D5">
        <f>Q21</f>
        <v>179474.6</v>
      </c>
      <c r="E5">
        <f>Q22</f>
        <v>175941.6</v>
      </c>
      <c r="F5">
        <f>Q23</f>
        <v>179074.4</v>
      </c>
      <c r="G5">
        <f>Q24</f>
        <v>182803.8</v>
      </c>
      <c r="N5" s="13"/>
      <c r="O5" s="13" t="s">
        <v>28</v>
      </c>
      <c r="P5" s="13" t="s">
        <v>20</v>
      </c>
      <c r="Q5" s="22">
        <f t="shared" si="0"/>
        <v>60034.719999999994</v>
      </c>
      <c r="R5" s="22">
        <f t="shared" si="1"/>
        <v>175.904</v>
      </c>
      <c r="S5" s="16">
        <f t="shared" si="2"/>
        <v>49.971083399739356</v>
      </c>
      <c r="T5" s="2">
        <f t="shared" si="3"/>
        <v>59917.599999999999</v>
      </c>
      <c r="U5" s="2">
        <f t="shared" si="4"/>
        <v>59978.3</v>
      </c>
      <c r="V5" s="2">
        <f t="shared" si="5"/>
        <v>60046.9</v>
      </c>
      <c r="W5" s="2">
        <f t="shared" si="6"/>
        <v>60037.599999999999</v>
      </c>
      <c r="X5" s="2">
        <f t="shared" si="7"/>
        <v>60193.2</v>
      </c>
      <c r="Y5" s="2">
        <f t="shared" si="8"/>
        <v>171.97</v>
      </c>
      <c r="Z5" s="2">
        <f t="shared" si="9"/>
        <v>180.32</v>
      </c>
      <c r="AA5" s="2">
        <f t="shared" si="10"/>
        <v>177.2</v>
      </c>
      <c r="AB5" s="2">
        <f t="shared" si="11"/>
        <v>177.01</v>
      </c>
      <c r="AC5" s="2">
        <f t="shared" si="12"/>
        <v>173.02</v>
      </c>
      <c r="AD5" s="1">
        <f t="shared" si="13"/>
        <v>0.20892882431330481</v>
      </c>
      <c r="AE5" s="1">
        <f t="shared" si="14"/>
        <v>0.84961130818745434</v>
      </c>
      <c r="AF5" s="13" t="s">
        <v>20</v>
      </c>
      <c r="AG5" s="2"/>
    </row>
    <row r="6" spans="1:33">
      <c r="A6" t="s">
        <v>24</v>
      </c>
      <c r="B6">
        <f>Q31</f>
        <v>6840.2280000000001</v>
      </c>
      <c r="C6">
        <f>Q26</f>
        <v>6932.7559999999994</v>
      </c>
      <c r="D6">
        <f>Q27</f>
        <v>6978.1320000000005</v>
      </c>
      <c r="E6">
        <f>Q28</f>
        <v>6663.2660000000005</v>
      </c>
      <c r="F6">
        <f>Q29</f>
        <v>7020.8399999999992</v>
      </c>
      <c r="G6">
        <f>Q30</f>
        <v>7056.3740000000007</v>
      </c>
      <c r="N6" s="13"/>
      <c r="O6" s="13" t="s">
        <v>28</v>
      </c>
      <c r="P6" s="13" t="s">
        <v>19</v>
      </c>
      <c r="Q6" s="22">
        <f t="shared" si="0"/>
        <v>60939.5</v>
      </c>
      <c r="R6" s="22">
        <f t="shared" si="1"/>
        <v>292.82</v>
      </c>
      <c r="S6" s="16">
        <f t="shared" si="2"/>
        <v>49.229153504705486</v>
      </c>
      <c r="T6" s="2">
        <f t="shared" si="3"/>
        <v>61397.599999999999</v>
      </c>
      <c r="U6" s="2">
        <f t="shared" si="4"/>
        <v>61109.5</v>
      </c>
      <c r="V6" s="2">
        <f t="shared" si="5"/>
        <v>61303.6</v>
      </c>
      <c r="W6" s="2">
        <f t="shared" si="6"/>
        <v>61125.2</v>
      </c>
      <c r="X6" s="2">
        <f t="shared" si="7"/>
        <v>59761.599999999999</v>
      </c>
      <c r="Y6" s="2">
        <f t="shared" si="8"/>
        <v>299.94</v>
      </c>
      <c r="Z6" s="2">
        <f t="shared" si="9"/>
        <v>284.64999999999998</v>
      </c>
      <c r="AA6" s="2">
        <f t="shared" si="10"/>
        <v>287.64999999999998</v>
      </c>
      <c r="AB6" s="2">
        <f t="shared" si="11"/>
        <v>300.61</v>
      </c>
      <c r="AC6" s="2">
        <f t="shared" si="12"/>
        <v>291.25</v>
      </c>
      <c r="AD6" s="1">
        <f t="shared" si="13"/>
        <v>1.2791922223507313</v>
      </c>
      <c r="AE6" s="1">
        <f t="shared" si="14"/>
        <v>1.7998315893438508</v>
      </c>
      <c r="AF6" s="13" t="s">
        <v>19</v>
      </c>
      <c r="AG6" s="2"/>
    </row>
    <row r="7" spans="1:33">
      <c r="A7" t="s">
        <v>18</v>
      </c>
      <c r="B7">
        <f>Q37</f>
        <v>55971.740000000005</v>
      </c>
      <c r="C7">
        <f>Q32</f>
        <v>55807.48</v>
      </c>
      <c r="D7">
        <f>Q33</f>
        <v>57307.979999999996</v>
      </c>
      <c r="E7">
        <f>Q34</f>
        <v>56163.42</v>
      </c>
      <c r="F7">
        <f>Q35</f>
        <v>57385.219999999994</v>
      </c>
      <c r="G7">
        <f>Q36</f>
        <v>58416.5</v>
      </c>
      <c r="N7" s="18">
        <f>MAX(S2:S7)</f>
        <v>51.204570451685754</v>
      </c>
      <c r="O7" s="13" t="s">
        <v>28</v>
      </c>
      <c r="P7" s="13" t="s">
        <v>17</v>
      </c>
      <c r="Q7" s="22">
        <f t="shared" si="0"/>
        <v>58645</v>
      </c>
      <c r="R7" s="22">
        <f t="shared" si="1"/>
        <v>105.69800000000001</v>
      </c>
      <c r="S7" s="16">
        <f t="shared" si="2"/>
        <v>51.155256202574812</v>
      </c>
      <c r="T7" s="2">
        <f t="shared" si="3"/>
        <v>58500.9</v>
      </c>
      <c r="U7" s="2">
        <f t="shared" si="4"/>
        <v>58755.6</v>
      </c>
      <c r="V7" s="2">
        <f t="shared" si="5"/>
        <v>58515.1</v>
      </c>
      <c r="W7" s="2">
        <f t="shared" si="6"/>
        <v>58717.3</v>
      </c>
      <c r="X7" s="2">
        <f t="shared" si="7"/>
        <v>58736.1</v>
      </c>
      <c r="Y7" s="2">
        <f t="shared" si="8"/>
        <v>106.5</v>
      </c>
      <c r="Z7" s="2">
        <f t="shared" si="9"/>
        <v>105.91</v>
      </c>
      <c r="AA7" s="2">
        <f t="shared" si="10"/>
        <v>103.26</v>
      </c>
      <c r="AB7" s="2">
        <f t="shared" si="11"/>
        <v>107.95</v>
      </c>
      <c r="AC7" s="2">
        <f t="shared" si="12"/>
        <v>104.87</v>
      </c>
      <c r="AD7" s="1">
        <f t="shared" si="13"/>
        <v>0</v>
      </c>
      <c r="AE7" s="1">
        <f t="shared" si="14"/>
        <v>0.43997656187574319</v>
      </c>
      <c r="AF7" s="13" t="s">
        <v>17</v>
      </c>
      <c r="AG7" s="2"/>
    </row>
    <row r="8" spans="1:33">
      <c r="N8" s="13" t="s">
        <v>43</v>
      </c>
      <c r="O8" s="13" t="s">
        <v>27</v>
      </c>
      <c r="P8" s="13" t="s">
        <v>23</v>
      </c>
      <c r="Q8" s="22">
        <f t="shared" si="0"/>
        <v>74275.360000000015</v>
      </c>
      <c r="R8" s="22">
        <f t="shared" si="1"/>
        <v>351.01599999999996</v>
      </c>
      <c r="S8" s="16">
        <f t="shared" si="2"/>
        <v>40.390245163402767</v>
      </c>
      <c r="T8" s="2">
        <f t="shared" si="3"/>
        <v>74221.899999999994</v>
      </c>
      <c r="U8" s="2">
        <f t="shared" si="4"/>
        <v>74618.100000000006</v>
      </c>
      <c r="V8" s="2">
        <f t="shared" si="5"/>
        <v>74139.5</v>
      </c>
      <c r="W8" s="2">
        <f t="shared" si="6"/>
        <v>74156.899999999994</v>
      </c>
      <c r="X8" s="2">
        <f t="shared" si="7"/>
        <v>74240.399999999994</v>
      </c>
      <c r="Y8" s="2">
        <f t="shared" si="8"/>
        <v>355.47</v>
      </c>
      <c r="Z8" s="2">
        <f t="shared" si="9"/>
        <v>352.53</v>
      </c>
      <c r="AA8" s="2">
        <f t="shared" si="10"/>
        <v>345.77</v>
      </c>
      <c r="AB8" s="2">
        <f t="shared" si="11"/>
        <v>351.69</v>
      </c>
      <c r="AC8" s="2">
        <f t="shared" si="12"/>
        <v>349.62</v>
      </c>
      <c r="AD8" s="1">
        <f t="shared" si="13"/>
        <v>0.33189889970176739</v>
      </c>
      <c r="AE8" s="1">
        <f t="shared" si="14"/>
        <v>0.90185503269650003</v>
      </c>
      <c r="AF8" s="13" t="s">
        <v>23</v>
      </c>
      <c r="AG8" s="2"/>
    </row>
    <row r="9" spans="1:33">
      <c r="A9" t="s">
        <v>32</v>
      </c>
      <c r="N9" s="13" t="s">
        <v>42</v>
      </c>
      <c r="O9" s="13" t="s">
        <v>27</v>
      </c>
      <c r="P9" s="13" t="s">
        <v>22</v>
      </c>
      <c r="Q9" s="22">
        <f t="shared" si="0"/>
        <v>74067.14</v>
      </c>
      <c r="R9" s="22">
        <f t="shared" si="1"/>
        <v>199.17799999999997</v>
      </c>
      <c r="S9" s="16">
        <f t="shared" si="2"/>
        <v>40.503791559927926</v>
      </c>
      <c r="T9" s="2">
        <f t="shared" si="3"/>
        <v>74369.7</v>
      </c>
      <c r="U9" s="2">
        <f t="shared" si="4"/>
        <v>74067.3</v>
      </c>
      <c r="V9" s="2">
        <f t="shared" si="5"/>
        <v>74729.7</v>
      </c>
      <c r="W9" s="2">
        <f t="shared" si="6"/>
        <v>73048.5</v>
      </c>
      <c r="X9" s="2">
        <f t="shared" si="7"/>
        <v>74120.5</v>
      </c>
      <c r="Y9" s="2">
        <f t="shared" si="8"/>
        <v>197.48</v>
      </c>
      <c r="Z9" s="2">
        <f t="shared" si="9"/>
        <v>202.35</v>
      </c>
      <c r="AA9" s="2">
        <f t="shared" si="10"/>
        <v>195.75</v>
      </c>
      <c r="AB9" s="2">
        <f t="shared" si="11"/>
        <v>203.12</v>
      </c>
      <c r="AC9" s="2">
        <f t="shared" si="12"/>
        <v>197.19</v>
      </c>
      <c r="AD9" s="1">
        <f t="shared" si="13"/>
        <v>0.95946583312125078</v>
      </c>
      <c r="AE9" s="1">
        <f t="shared" si="14"/>
        <v>0.83092079947489617</v>
      </c>
      <c r="AF9" s="13" t="s">
        <v>22</v>
      </c>
      <c r="AG9" s="2"/>
    </row>
    <row r="10" spans="1:33">
      <c r="A10" t="s">
        <v>45</v>
      </c>
      <c r="B10" t="s">
        <v>17</v>
      </c>
      <c r="C10" t="s">
        <v>23</v>
      </c>
      <c r="D10" t="s">
        <v>31</v>
      </c>
      <c r="E10" t="s">
        <v>21</v>
      </c>
      <c r="F10" t="s">
        <v>20</v>
      </c>
      <c r="G10" t="s">
        <v>19</v>
      </c>
      <c r="N10" s="13"/>
      <c r="O10" s="13" t="s">
        <v>27</v>
      </c>
      <c r="P10" s="13" t="s">
        <v>21</v>
      </c>
      <c r="Q10" s="22">
        <f t="shared" si="0"/>
        <v>72246.98</v>
      </c>
      <c r="R10" s="22">
        <f t="shared" si="1"/>
        <v>140.73600000000002</v>
      </c>
      <c r="S10" s="16">
        <f t="shared" si="2"/>
        <v>41.524227033434478</v>
      </c>
      <c r="T10" s="2">
        <f t="shared" si="3"/>
        <v>72845.899999999994</v>
      </c>
      <c r="U10" s="2">
        <f t="shared" si="4"/>
        <v>71960.2</v>
      </c>
      <c r="V10" s="2">
        <f t="shared" si="5"/>
        <v>71863.8</v>
      </c>
      <c r="W10" s="2">
        <f t="shared" si="6"/>
        <v>72623.7</v>
      </c>
      <c r="X10" s="2">
        <f t="shared" si="7"/>
        <v>71941.3</v>
      </c>
      <c r="Y10" s="2">
        <f t="shared" si="8"/>
        <v>144.38999999999999</v>
      </c>
      <c r="Z10" s="2">
        <f t="shared" si="9"/>
        <v>137.91</v>
      </c>
      <c r="AA10" s="2">
        <f t="shared" si="10"/>
        <v>141</v>
      </c>
      <c r="AB10" s="2">
        <f t="shared" si="11"/>
        <v>142.68</v>
      </c>
      <c r="AC10" s="2">
        <f t="shared" si="12"/>
        <v>137.69999999999999</v>
      </c>
      <c r="AD10" s="1">
        <f t="shared" si="13"/>
        <v>0.58805192949065033</v>
      </c>
      <c r="AE10" s="1">
        <f t="shared" si="14"/>
        <v>0.73318781700189217</v>
      </c>
      <c r="AF10" s="13" t="s">
        <v>21</v>
      </c>
      <c r="AG10" s="2"/>
    </row>
    <row r="11" spans="1:33">
      <c r="A11" t="s">
        <v>28</v>
      </c>
      <c r="B11" s="12">
        <f t="shared" ref="B11:G16" si="15">B2/$B2*100</f>
        <v>100</v>
      </c>
      <c r="C11" s="12">
        <f t="shared" si="15"/>
        <v>99.903691704322625</v>
      </c>
      <c r="D11" s="12">
        <f t="shared" si="15"/>
        <v>102.79161053798278</v>
      </c>
      <c r="E11" s="12">
        <f t="shared" si="15"/>
        <v>100.73551027368062</v>
      </c>
      <c r="F11" s="12">
        <f t="shared" si="15"/>
        <v>102.36971608832806</v>
      </c>
      <c r="G11" s="12">
        <f t="shared" si="15"/>
        <v>103.91252451189359</v>
      </c>
      <c r="N11" s="13"/>
      <c r="O11" s="13" t="s">
        <v>27</v>
      </c>
      <c r="P11" s="13" t="s">
        <v>20</v>
      </c>
      <c r="Q11" s="22">
        <f t="shared" si="0"/>
        <v>73713.299999999988</v>
      </c>
      <c r="R11" s="22">
        <f t="shared" si="1"/>
        <v>147.732</v>
      </c>
      <c r="S11" s="16">
        <f t="shared" si="2"/>
        <v>40.698218638970175</v>
      </c>
      <c r="T11" s="2">
        <f t="shared" si="3"/>
        <v>73518.3</v>
      </c>
      <c r="U11" s="2">
        <f t="shared" si="4"/>
        <v>73631.8</v>
      </c>
      <c r="V11" s="2">
        <f t="shared" si="5"/>
        <v>73741.2</v>
      </c>
      <c r="W11" s="2">
        <f t="shared" si="6"/>
        <v>73731.899999999994</v>
      </c>
      <c r="X11" s="2">
        <f t="shared" si="7"/>
        <v>73943.3</v>
      </c>
      <c r="Y11" s="2">
        <f t="shared" si="8"/>
        <v>147.63999999999999</v>
      </c>
      <c r="Z11" s="2">
        <f t="shared" si="9"/>
        <v>148.32</v>
      </c>
      <c r="AA11" s="2">
        <f t="shared" si="10"/>
        <v>148.55000000000001</v>
      </c>
      <c r="AB11" s="2">
        <f t="shared" si="11"/>
        <v>148.24</v>
      </c>
      <c r="AC11" s="2">
        <f t="shared" si="12"/>
        <v>145.91</v>
      </c>
      <c r="AD11" s="1">
        <f t="shared" si="13"/>
        <v>0.20748443651595735</v>
      </c>
      <c r="AE11" s="1">
        <f t="shared" si="14"/>
        <v>0.26812660255931442</v>
      </c>
      <c r="AF11" s="13" t="s">
        <v>20</v>
      </c>
      <c r="AG11" s="2"/>
    </row>
    <row r="12" spans="1:33">
      <c r="A12" t="s">
        <v>27</v>
      </c>
      <c r="B12" s="12">
        <f t="shared" si="15"/>
        <v>100</v>
      </c>
      <c r="C12" s="12">
        <f t="shared" si="15"/>
        <v>103.51314453779361</v>
      </c>
      <c r="D12" s="12">
        <f t="shared" si="15"/>
        <v>103.2229607277702</v>
      </c>
      <c r="E12" s="12">
        <f t="shared" si="15"/>
        <v>100.68631216542178</v>
      </c>
      <c r="F12" s="12">
        <f t="shared" si="15"/>
        <v>102.72983499854782</v>
      </c>
      <c r="G12" s="12">
        <f t="shared" si="15"/>
        <v>105.27445518414726</v>
      </c>
      <c r="N12" s="13"/>
      <c r="O12" s="13" t="s">
        <v>27</v>
      </c>
      <c r="P12" s="13" t="s">
        <v>19</v>
      </c>
      <c r="Q12" s="22">
        <f t="shared" si="0"/>
        <v>75539.179999999978</v>
      </c>
      <c r="R12" s="22">
        <f t="shared" si="1"/>
        <v>293.25799999999998</v>
      </c>
      <c r="S12" s="16">
        <f t="shared" si="2"/>
        <v>39.714489884587053</v>
      </c>
      <c r="T12" s="2">
        <f t="shared" si="3"/>
        <v>75687.7</v>
      </c>
      <c r="U12" s="2">
        <f t="shared" si="4"/>
        <v>75067.399999999994</v>
      </c>
      <c r="V12" s="2">
        <f t="shared" si="5"/>
        <v>75996.3</v>
      </c>
      <c r="W12" s="2">
        <f t="shared" si="6"/>
        <v>75460.899999999994</v>
      </c>
      <c r="X12" s="2">
        <f t="shared" si="7"/>
        <v>75483.600000000006</v>
      </c>
      <c r="Y12" s="2">
        <f t="shared" si="8"/>
        <v>303.39999999999998</v>
      </c>
      <c r="Z12" s="2">
        <f t="shared" si="9"/>
        <v>288.63</v>
      </c>
      <c r="AA12" s="2">
        <f t="shared" si="10"/>
        <v>299.11</v>
      </c>
      <c r="AB12" s="2">
        <f t="shared" si="11"/>
        <v>281.11</v>
      </c>
      <c r="AC12" s="2">
        <f t="shared" si="12"/>
        <v>294.04000000000002</v>
      </c>
      <c r="AD12" s="1">
        <f t="shared" si="13"/>
        <v>0.52700680879989237</v>
      </c>
      <c r="AE12" s="1">
        <f t="shared" si="14"/>
        <v>2.1891418124461448</v>
      </c>
      <c r="AF12" s="13" t="s">
        <v>19</v>
      </c>
      <c r="AG12" s="2"/>
    </row>
    <row r="13" spans="1:33">
      <c r="A13" t="s">
        <v>26</v>
      </c>
      <c r="B13" s="12">
        <f t="shared" si="15"/>
        <v>100</v>
      </c>
      <c r="C13" s="12">
        <f t="shared" si="15"/>
        <v>102.34006035168346</v>
      </c>
      <c r="D13" s="12">
        <f t="shared" si="15"/>
        <v>100.25734723742197</v>
      </c>
      <c r="E13" s="12">
        <f t="shared" si="15"/>
        <v>100.93584943107568</v>
      </c>
      <c r="F13" s="12">
        <f t="shared" si="15"/>
        <v>102.54897808862108</v>
      </c>
      <c r="G13" s="12">
        <f t="shared" si="15"/>
        <v>105.64539123069636</v>
      </c>
      <c r="H13" s="12"/>
      <c r="I13" s="12"/>
      <c r="J13" s="12"/>
      <c r="K13" s="12"/>
      <c r="L13" s="12"/>
      <c r="M13" s="12"/>
      <c r="N13" s="18">
        <f>MAX(S8:S13)</f>
        <v>41.809212855162301</v>
      </c>
      <c r="O13" s="13" t="s">
        <v>27</v>
      </c>
      <c r="P13" s="13" t="s">
        <v>17</v>
      </c>
      <c r="Q13" s="22">
        <f t="shared" si="0"/>
        <v>71754.51999999999</v>
      </c>
      <c r="R13" s="22">
        <f t="shared" si="1"/>
        <v>81.97999999999999</v>
      </c>
      <c r="S13" s="16">
        <f t="shared" si="2"/>
        <v>41.809212855162301</v>
      </c>
      <c r="T13" s="2">
        <f t="shared" si="3"/>
        <v>71772.399999999994</v>
      </c>
      <c r="U13" s="2">
        <f t="shared" si="4"/>
        <v>71691.100000000006</v>
      </c>
      <c r="V13" s="2">
        <f t="shared" si="5"/>
        <v>71633.3</v>
      </c>
      <c r="W13" s="2">
        <f t="shared" si="6"/>
        <v>71823.8</v>
      </c>
      <c r="X13" s="2">
        <f t="shared" si="7"/>
        <v>71852</v>
      </c>
      <c r="Y13" s="2">
        <f t="shared" si="8"/>
        <v>82.01</v>
      </c>
      <c r="Z13" s="2">
        <f t="shared" si="9"/>
        <v>79.19</v>
      </c>
      <c r="AA13" s="2">
        <f t="shared" si="10"/>
        <v>81.78</v>
      </c>
      <c r="AB13" s="2">
        <f t="shared" si="11"/>
        <v>83.98</v>
      </c>
      <c r="AC13" s="2">
        <f t="shared" si="12"/>
        <v>82.94</v>
      </c>
      <c r="AD13" s="1">
        <f t="shared" si="13"/>
        <v>0</v>
      </c>
      <c r="AE13" s="1">
        <f t="shared" si="14"/>
        <v>0.44627976091236804</v>
      </c>
      <c r="AF13" s="13" t="s">
        <v>17</v>
      </c>
      <c r="AG13" s="2"/>
    </row>
    <row r="14" spans="1:33">
      <c r="A14" t="s">
        <v>25</v>
      </c>
      <c r="B14" s="12">
        <f t="shared" si="15"/>
        <v>100</v>
      </c>
      <c r="C14" s="12">
        <f t="shared" si="15"/>
        <v>101.49212553167031</v>
      </c>
      <c r="D14" s="12">
        <f t="shared" si="15"/>
        <v>103.1581791010461</v>
      </c>
      <c r="E14" s="12">
        <f t="shared" si="15"/>
        <v>101.1274859179216</v>
      </c>
      <c r="F14" s="12">
        <f t="shared" si="15"/>
        <v>102.92815266122541</v>
      </c>
      <c r="G14" s="12">
        <f t="shared" si="15"/>
        <v>105.07173238303254</v>
      </c>
      <c r="H14" s="12"/>
      <c r="I14" s="12"/>
      <c r="J14" s="12"/>
      <c r="K14" s="12"/>
      <c r="L14" s="12"/>
      <c r="M14" s="12"/>
      <c r="N14" s="13" t="s">
        <v>43</v>
      </c>
      <c r="O14" s="13" t="s">
        <v>26</v>
      </c>
      <c r="P14" s="13" t="s">
        <v>23</v>
      </c>
      <c r="Q14" s="22">
        <f t="shared" si="0"/>
        <v>58577.240000000005</v>
      </c>
      <c r="R14" s="22">
        <f t="shared" si="1"/>
        <v>359.07000000000005</v>
      </c>
      <c r="S14" s="16">
        <f t="shared" si="2"/>
        <v>51.214430724288135</v>
      </c>
      <c r="T14" s="2">
        <f t="shared" si="3"/>
        <v>59654.400000000001</v>
      </c>
      <c r="U14" s="2">
        <f t="shared" si="4"/>
        <v>54742.1</v>
      </c>
      <c r="V14" s="2">
        <f t="shared" si="5"/>
        <v>59577.7</v>
      </c>
      <c r="W14" s="2">
        <f t="shared" si="6"/>
        <v>59474.5</v>
      </c>
      <c r="X14" s="2">
        <f t="shared" si="7"/>
        <v>59437.5</v>
      </c>
      <c r="Y14" s="2">
        <f t="shared" si="8"/>
        <v>356.36</v>
      </c>
      <c r="Z14" s="2">
        <f t="shared" si="9"/>
        <v>348.12</v>
      </c>
      <c r="AA14" s="2">
        <f t="shared" si="10"/>
        <v>361.92</v>
      </c>
      <c r="AB14" s="2">
        <f t="shared" si="11"/>
        <v>365.29</v>
      </c>
      <c r="AC14" s="2">
        <f t="shared" si="12"/>
        <v>363.66</v>
      </c>
      <c r="AD14" s="1">
        <f t="shared" si="13"/>
        <v>3.8095577020714981</v>
      </c>
      <c r="AE14" s="1">
        <f t="shared" si="14"/>
        <v>1.7460920651557885</v>
      </c>
      <c r="AF14" s="13" t="s">
        <v>23</v>
      </c>
      <c r="AG14" s="2"/>
    </row>
    <row r="15" spans="1:33">
      <c r="A15" t="s">
        <v>24</v>
      </c>
      <c r="B15" s="12">
        <f t="shared" si="15"/>
        <v>100</v>
      </c>
      <c r="C15" s="12">
        <f t="shared" si="15"/>
        <v>101.35270344789676</v>
      </c>
      <c r="D15" s="12">
        <f t="shared" si="15"/>
        <v>102.01607314843892</v>
      </c>
      <c r="E15" s="12">
        <f t="shared" si="15"/>
        <v>97.412922493226844</v>
      </c>
      <c r="F15" s="12">
        <f t="shared" si="15"/>
        <v>102.64043830117942</v>
      </c>
      <c r="G15" s="12">
        <f t="shared" si="15"/>
        <v>103.15992390896913</v>
      </c>
      <c r="H15" s="12" t="s">
        <v>29</v>
      </c>
      <c r="I15" s="12"/>
      <c r="J15" s="12"/>
      <c r="K15" s="12"/>
      <c r="L15" s="12"/>
      <c r="M15" s="12"/>
      <c r="N15" s="13"/>
      <c r="O15" s="13" t="s">
        <v>26</v>
      </c>
      <c r="P15" s="13" t="s">
        <v>22</v>
      </c>
      <c r="Q15" s="22">
        <f t="shared" si="0"/>
        <v>57385.14</v>
      </c>
      <c r="R15" s="22">
        <f t="shared" si="1"/>
        <v>186.94800000000004</v>
      </c>
      <c r="S15" s="16">
        <f t="shared" si="2"/>
        <v>52.278342441963197</v>
      </c>
      <c r="T15" s="2">
        <f t="shared" si="3"/>
        <v>54438.400000000001</v>
      </c>
      <c r="U15" s="2">
        <f t="shared" si="4"/>
        <v>59186.3</v>
      </c>
      <c r="V15" s="2">
        <f t="shared" si="5"/>
        <v>59252.5</v>
      </c>
      <c r="W15" s="2">
        <f t="shared" si="6"/>
        <v>54819.3</v>
      </c>
      <c r="X15" s="2">
        <f t="shared" si="7"/>
        <v>59229.2</v>
      </c>
      <c r="Y15" s="2">
        <f t="shared" si="8"/>
        <v>189.19</v>
      </c>
      <c r="Z15" s="2">
        <f t="shared" si="9"/>
        <v>183.42</v>
      </c>
      <c r="AA15" s="2">
        <f t="shared" si="10"/>
        <v>188.06</v>
      </c>
      <c r="AB15" s="2">
        <f t="shared" si="11"/>
        <v>188.22</v>
      </c>
      <c r="AC15" s="2">
        <f t="shared" si="12"/>
        <v>185.85</v>
      </c>
      <c r="AD15" s="1">
        <f t="shared" si="13"/>
        <v>4.3197290425322983</v>
      </c>
      <c r="AE15" s="1">
        <f t="shared" si="14"/>
        <v>0.58005226057658066</v>
      </c>
      <c r="AF15" s="13" t="s">
        <v>22</v>
      </c>
      <c r="AG15" s="2"/>
    </row>
    <row r="16" spans="1:33">
      <c r="A16" t="s">
        <v>18</v>
      </c>
      <c r="B16" s="12">
        <f t="shared" si="15"/>
        <v>100</v>
      </c>
      <c r="C16" s="12">
        <f t="shared" si="15"/>
        <v>99.706530474128556</v>
      </c>
      <c r="D16" s="12">
        <f t="shared" si="15"/>
        <v>102.3873476150643</v>
      </c>
      <c r="E16" s="12">
        <f t="shared" si="15"/>
        <v>100.34245853353852</v>
      </c>
      <c r="F16" s="12">
        <f t="shared" si="15"/>
        <v>102.52534582630446</v>
      </c>
      <c r="G16" s="12">
        <f t="shared" si="15"/>
        <v>104.36784705996276</v>
      </c>
      <c r="H16" s="12"/>
      <c r="I16" s="12"/>
      <c r="J16" s="12"/>
      <c r="K16" s="12"/>
      <c r="L16" s="12"/>
      <c r="M16" s="12"/>
      <c r="N16" s="13"/>
      <c r="O16" s="13" t="s">
        <v>26</v>
      </c>
      <c r="P16" s="13" t="s">
        <v>21</v>
      </c>
      <c r="Q16" s="22">
        <f t="shared" si="0"/>
        <v>57773.5</v>
      </c>
      <c r="R16" s="22">
        <f t="shared" si="1"/>
        <v>127.03999999999999</v>
      </c>
      <c r="S16" s="16">
        <f t="shared" si="2"/>
        <v>51.926921512458136</v>
      </c>
      <c r="T16" s="2">
        <f t="shared" si="3"/>
        <v>58013.4</v>
      </c>
      <c r="U16" s="2">
        <f t="shared" si="4"/>
        <v>56705.8</v>
      </c>
      <c r="V16" s="2">
        <f t="shared" si="5"/>
        <v>58762.1</v>
      </c>
      <c r="W16" s="2">
        <f t="shared" si="6"/>
        <v>57116.4</v>
      </c>
      <c r="X16" s="2">
        <f t="shared" si="7"/>
        <v>58269.8</v>
      </c>
      <c r="Y16" s="2">
        <f t="shared" si="8"/>
        <v>124.48</v>
      </c>
      <c r="Z16" s="2">
        <f t="shared" si="9"/>
        <v>123.89</v>
      </c>
      <c r="AA16" s="2">
        <f t="shared" si="10"/>
        <v>129.16</v>
      </c>
      <c r="AB16" s="2">
        <f t="shared" si="11"/>
        <v>128.63999999999999</v>
      </c>
      <c r="AC16" s="2">
        <f t="shared" si="12"/>
        <v>129.03</v>
      </c>
      <c r="AD16" s="1">
        <f t="shared" si="13"/>
        <v>1.3625404710603546</v>
      </c>
      <c r="AE16" s="1">
        <f t="shared" si="14"/>
        <v>0.65539348867683966</v>
      </c>
      <c r="AF16" s="13" t="s">
        <v>21</v>
      </c>
      <c r="AG16" s="2"/>
    </row>
    <row r="17" spans="1:33">
      <c r="A17" t="s">
        <v>41</v>
      </c>
      <c r="B17" s="12">
        <f t="shared" ref="B17:G17" si="16">GEOMEAN(B11:B16)</f>
        <v>100</v>
      </c>
      <c r="C17" s="12">
        <f t="shared" si="16"/>
        <v>101.37612019900642</v>
      </c>
      <c r="D17" s="12">
        <f t="shared" si="16"/>
        <v>102.30058699815487</v>
      </c>
      <c r="E17" s="12">
        <f t="shared" si="16"/>
        <v>100.1985641323204</v>
      </c>
      <c r="F17" s="12">
        <f t="shared" si="16"/>
        <v>102.62359497450518</v>
      </c>
      <c r="G17" s="12">
        <f t="shared" si="16"/>
        <v>104.56849259243617</v>
      </c>
      <c r="H17" s="12"/>
      <c r="I17" s="12"/>
      <c r="J17" s="12"/>
      <c r="K17" s="12"/>
      <c r="L17" s="12"/>
      <c r="M17" s="12"/>
      <c r="N17" s="13"/>
      <c r="O17" s="13" t="s">
        <v>26</v>
      </c>
      <c r="P17" s="13" t="s">
        <v>20</v>
      </c>
      <c r="Q17" s="22">
        <f t="shared" si="0"/>
        <v>58696.819999999992</v>
      </c>
      <c r="R17" s="22">
        <f t="shared" si="1"/>
        <v>138.27000000000004</v>
      </c>
      <c r="S17" s="16">
        <f t="shared" si="2"/>
        <v>51.110094209532996</v>
      </c>
      <c r="T17" s="2">
        <f t="shared" si="3"/>
        <v>58832.1</v>
      </c>
      <c r="U17" s="2">
        <f t="shared" si="4"/>
        <v>58716.3</v>
      </c>
      <c r="V17" s="2">
        <f t="shared" si="5"/>
        <v>58689.599999999999</v>
      </c>
      <c r="W17" s="2">
        <f t="shared" si="6"/>
        <v>58496.4</v>
      </c>
      <c r="X17" s="2">
        <f t="shared" si="7"/>
        <v>58749.7</v>
      </c>
      <c r="Y17" s="2">
        <f t="shared" si="8"/>
        <v>134.11000000000001</v>
      </c>
      <c r="Z17" s="2">
        <f t="shared" si="9"/>
        <v>140.13</v>
      </c>
      <c r="AA17" s="2">
        <f t="shared" si="10"/>
        <v>134.72999999999999</v>
      </c>
      <c r="AB17" s="2">
        <f t="shared" si="11"/>
        <v>141.44999999999999</v>
      </c>
      <c r="AC17" s="2">
        <f t="shared" si="12"/>
        <v>140.93</v>
      </c>
      <c r="AD17" s="1">
        <f t="shared" si="13"/>
        <v>0.18599824492212036</v>
      </c>
      <c r="AE17" s="1">
        <f t="shared" si="14"/>
        <v>0.88815820662762468</v>
      </c>
      <c r="AF17" s="13" t="s">
        <v>20</v>
      </c>
      <c r="AG17" s="2"/>
    </row>
    <row r="18" spans="1:33">
      <c r="H18" s="12"/>
      <c r="I18" s="12"/>
      <c r="J18" s="12"/>
      <c r="K18" s="12"/>
      <c r="L18" s="12"/>
      <c r="M18" s="12"/>
      <c r="N18" s="13"/>
      <c r="O18" s="13" t="s">
        <v>26</v>
      </c>
      <c r="P18" s="13" t="s">
        <v>19</v>
      </c>
      <c r="Q18" s="22">
        <f t="shared" si="0"/>
        <v>60469.14</v>
      </c>
      <c r="R18" s="22">
        <f t="shared" si="1"/>
        <v>315.29200000000003</v>
      </c>
      <c r="S18" s="16">
        <f t="shared" si="2"/>
        <v>49.612083122068547</v>
      </c>
      <c r="T18" s="2">
        <f t="shared" si="3"/>
        <v>60629.3</v>
      </c>
      <c r="U18" s="2">
        <f t="shared" si="4"/>
        <v>60542.3</v>
      </c>
      <c r="V18" s="2">
        <f t="shared" si="5"/>
        <v>60675.9</v>
      </c>
      <c r="W18" s="2">
        <f t="shared" si="6"/>
        <v>60396.1</v>
      </c>
      <c r="X18" s="2">
        <f t="shared" si="7"/>
        <v>60102.1</v>
      </c>
      <c r="Y18" s="2">
        <f t="shared" si="8"/>
        <v>318.22000000000003</v>
      </c>
      <c r="Z18" s="2">
        <f t="shared" si="9"/>
        <v>315.58</v>
      </c>
      <c r="AA18" s="2">
        <f t="shared" si="10"/>
        <v>306.92</v>
      </c>
      <c r="AB18" s="2">
        <f t="shared" si="11"/>
        <v>325.10000000000002</v>
      </c>
      <c r="AC18" s="2">
        <f t="shared" si="12"/>
        <v>310.64</v>
      </c>
      <c r="AD18" s="1">
        <f t="shared" si="13"/>
        <v>0.35631375921889696</v>
      </c>
      <c r="AE18" s="1">
        <f t="shared" si="14"/>
        <v>1.7526073433601741</v>
      </c>
      <c r="AF18" s="13" t="s">
        <v>19</v>
      </c>
      <c r="AG18" s="2"/>
    </row>
    <row r="19" spans="1:33">
      <c r="A19" t="s">
        <v>45</v>
      </c>
      <c r="B19" t="s">
        <v>17</v>
      </c>
      <c r="C19" t="s">
        <v>23</v>
      </c>
      <c r="D19" t="s">
        <v>31</v>
      </c>
      <c r="E19" t="s">
        <v>21</v>
      </c>
      <c r="F19" t="s">
        <v>20</v>
      </c>
      <c r="G19" t="s">
        <v>19</v>
      </c>
      <c r="H19" s="12"/>
      <c r="I19" s="12"/>
      <c r="J19" s="12"/>
      <c r="K19" s="12"/>
      <c r="L19" s="12"/>
      <c r="M19" s="12"/>
      <c r="N19" s="18">
        <f>MAX(S14:S19)</f>
        <v>52.41287931200759</v>
      </c>
      <c r="O19" s="13" t="s">
        <v>26</v>
      </c>
      <c r="P19" s="13" t="s">
        <v>17</v>
      </c>
      <c r="Q19" s="22">
        <f t="shared" si="0"/>
        <v>57237.839999999989</v>
      </c>
      <c r="R19" s="22">
        <f t="shared" si="1"/>
        <v>68.822000000000003</v>
      </c>
      <c r="S19" s="16">
        <f t="shared" si="2"/>
        <v>52.41287931200759</v>
      </c>
      <c r="T19" s="2">
        <f t="shared" si="3"/>
        <v>57405.8</v>
      </c>
      <c r="U19" s="2">
        <f t="shared" si="4"/>
        <v>57296.6</v>
      </c>
      <c r="V19" s="2">
        <f t="shared" si="5"/>
        <v>57365.2</v>
      </c>
      <c r="W19" s="2">
        <f t="shared" si="6"/>
        <v>56934.1</v>
      </c>
      <c r="X19" s="2">
        <f t="shared" si="7"/>
        <v>57187.5</v>
      </c>
      <c r="Y19" s="2">
        <f t="shared" si="8"/>
        <v>67.150000000000006</v>
      </c>
      <c r="Z19" s="2">
        <f t="shared" si="9"/>
        <v>68.45</v>
      </c>
      <c r="AA19" s="2">
        <f t="shared" si="10"/>
        <v>69</v>
      </c>
      <c r="AB19" s="2">
        <f t="shared" si="11"/>
        <v>71.13</v>
      </c>
      <c r="AC19" s="2">
        <f t="shared" si="12"/>
        <v>68.38</v>
      </c>
      <c r="AD19" s="1">
        <f t="shared" si="13"/>
        <v>0</v>
      </c>
      <c r="AE19" s="1">
        <f t="shared" si="14"/>
        <v>0.36417458038693395</v>
      </c>
      <c r="AF19" s="13" t="s">
        <v>17</v>
      </c>
      <c r="AG19" s="2"/>
    </row>
    <row r="20" spans="1:33">
      <c r="A20" t="s">
        <v>28</v>
      </c>
      <c r="B20">
        <f>R7</f>
        <v>105.69800000000001</v>
      </c>
      <c r="C20">
        <f>R2</f>
        <v>348.16800000000001</v>
      </c>
      <c r="D20">
        <f>R3</f>
        <v>212.11199999999999</v>
      </c>
      <c r="E20">
        <f>R4</f>
        <v>163.17599999999999</v>
      </c>
      <c r="F20">
        <f>R5</f>
        <v>175.904</v>
      </c>
      <c r="G20">
        <f>R6</f>
        <v>292.82</v>
      </c>
      <c r="N20" s="13" t="s">
        <v>46</v>
      </c>
      <c r="O20" s="13" t="s">
        <v>25</v>
      </c>
      <c r="P20" s="13" t="s">
        <v>23</v>
      </c>
      <c r="Q20" s="22">
        <f t="shared" si="0"/>
        <v>176576</v>
      </c>
      <c r="R20" s="22">
        <f t="shared" si="1"/>
        <v>349.41800000000001</v>
      </c>
      <c r="S20" s="16">
        <f t="shared" si="2"/>
        <v>16.989851395433128</v>
      </c>
      <c r="T20" s="2">
        <f t="shared" si="3"/>
        <v>176334</v>
      </c>
      <c r="U20" s="2">
        <f t="shared" si="4"/>
        <v>177607</v>
      </c>
      <c r="V20" s="2">
        <f t="shared" si="5"/>
        <v>175810</v>
      </c>
      <c r="W20" s="2">
        <f t="shared" si="6"/>
        <v>177611</v>
      </c>
      <c r="X20" s="2">
        <f t="shared" si="7"/>
        <v>175518</v>
      </c>
      <c r="Y20" s="2">
        <f t="shared" si="8"/>
        <v>352.21</v>
      </c>
      <c r="Z20" s="2">
        <f t="shared" si="9"/>
        <v>355.03</v>
      </c>
      <c r="AA20" s="2">
        <f t="shared" si="10"/>
        <v>338.74</v>
      </c>
      <c r="AB20" s="2">
        <f t="shared" si="11"/>
        <v>360.59</v>
      </c>
      <c r="AC20" s="2">
        <f t="shared" si="12"/>
        <v>340.52</v>
      </c>
      <c r="AD20" s="1">
        <f t="shared" si="13"/>
        <v>0.426523524380442</v>
      </c>
      <c r="AE20" s="1">
        <f t="shared" si="14"/>
        <v>2.362789268005081</v>
      </c>
      <c r="AF20" s="13" t="s">
        <v>23</v>
      </c>
      <c r="AG20" s="2"/>
    </row>
    <row r="21" spans="1:33">
      <c r="A21" t="s">
        <v>27</v>
      </c>
      <c r="B21">
        <f>R13</f>
        <v>81.97999999999999</v>
      </c>
      <c r="C21">
        <f>R8</f>
        <v>351.01599999999996</v>
      </c>
      <c r="D21">
        <f>R9</f>
        <v>199.17799999999997</v>
      </c>
      <c r="E21">
        <f>R10</f>
        <v>140.73600000000002</v>
      </c>
      <c r="F21">
        <f>R11</f>
        <v>147.732</v>
      </c>
      <c r="G21">
        <f>R12</f>
        <v>293.25799999999998</v>
      </c>
      <c r="N21" s="13" t="s">
        <v>43</v>
      </c>
      <c r="O21" s="13" t="s">
        <v>25</v>
      </c>
      <c r="P21" s="13" t="s">
        <v>22</v>
      </c>
      <c r="Q21" s="22">
        <f t="shared" si="0"/>
        <v>179474.6</v>
      </c>
      <c r="R21" s="22">
        <f t="shared" si="1"/>
        <v>223.31</v>
      </c>
      <c r="S21" s="16">
        <f t="shared" si="2"/>
        <v>16.715457229045224</v>
      </c>
      <c r="T21" s="2">
        <f t="shared" si="3"/>
        <v>177956</v>
      </c>
      <c r="U21" s="2">
        <f t="shared" si="4"/>
        <v>178858</v>
      </c>
      <c r="V21" s="2">
        <f t="shared" si="5"/>
        <v>180087</v>
      </c>
      <c r="W21" s="2">
        <f t="shared" si="6"/>
        <v>180974</v>
      </c>
      <c r="X21" s="2">
        <f t="shared" si="7"/>
        <v>179498</v>
      </c>
      <c r="Y21" s="2">
        <f t="shared" si="8"/>
        <v>218.91</v>
      </c>
      <c r="Z21" s="2">
        <f t="shared" si="9"/>
        <v>227.7</v>
      </c>
      <c r="AA21" s="2">
        <f t="shared" si="10"/>
        <v>222.67</v>
      </c>
      <c r="AB21" s="2">
        <f t="shared" si="11"/>
        <v>225.94</v>
      </c>
      <c r="AC21" s="2">
        <f t="shared" si="12"/>
        <v>221.33</v>
      </c>
      <c r="AD21" s="1">
        <f t="shared" si="13"/>
        <v>0.90060169752471908</v>
      </c>
      <c r="AE21" s="1">
        <f t="shared" si="14"/>
        <v>0.88281332964562687</v>
      </c>
      <c r="AF21" s="13" t="s">
        <v>22</v>
      </c>
      <c r="AG21" s="2"/>
    </row>
    <row r="22" spans="1:33">
      <c r="A22" t="s">
        <v>26</v>
      </c>
      <c r="B22">
        <f>R19</f>
        <v>68.822000000000003</v>
      </c>
      <c r="C22">
        <f>R14</f>
        <v>359.07000000000005</v>
      </c>
      <c r="D22">
        <f>R15</f>
        <v>186.94800000000004</v>
      </c>
      <c r="E22">
        <f>R16</f>
        <v>127.03999999999999</v>
      </c>
      <c r="F22">
        <f>R17</f>
        <v>138.27000000000004</v>
      </c>
      <c r="G22">
        <f>R18</f>
        <v>315.29200000000003</v>
      </c>
      <c r="N22" s="13"/>
      <c r="O22" s="13" t="s">
        <v>25</v>
      </c>
      <c r="P22" s="13" t="s">
        <v>21</v>
      </c>
      <c r="Q22" s="22">
        <f t="shared" si="0"/>
        <v>175941.6</v>
      </c>
      <c r="R22" s="22">
        <f t="shared" si="1"/>
        <v>177.61799999999999</v>
      </c>
      <c r="S22" s="16">
        <f t="shared" si="2"/>
        <v>17.051112414573925</v>
      </c>
      <c r="T22" s="2">
        <f t="shared" si="3"/>
        <v>178308</v>
      </c>
      <c r="U22" s="2">
        <f t="shared" si="4"/>
        <v>172605</v>
      </c>
      <c r="V22" s="2">
        <f t="shared" si="5"/>
        <v>174473</v>
      </c>
      <c r="W22" s="2">
        <f t="shared" si="6"/>
        <v>176867</v>
      </c>
      <c r="X22" s="2">
        <f t="shared" si="7"/>
        <v>177455</v>
      </c>
      <c r="Y22" s="2">
        <f t="shared" si="8"/>
        <v>179.26</v>
      </c>
      <c r="Z22" s="2">
        <f t="shared" si="9"/>
        <v>182.59</v>
      </c>
      <c r="AA22" s="2">
        <f t="shared" si="10"/>
        <v>171.7</v>
      </c>
      <c r="AB22" s="2">
        <f t="shared" si="11"/>
        <v>174.15</v>
      </c>
      <c r="AC22" s="2">
        <f t="shared" si="12"/>
        <v>180.39</v>
      </c>
      <c r="AD22" s="1">
        <f t="shared" si="13"/>
        <v>1.4957201020650335</v>
      </c>
      <c r="AE22" s="1">
        <f t="shared" si="14"/>
        <v>1.1329626538416879</v>
      </c>
      <c r="AF22" s="13" t="s">
        <v>21</v>
      </c>
      <c r="AG22" s="2"/>
    </row>
    <row r="23" spans="1:33">
      <c r="A23" t="s">
        <v>25</v>
      </c>
      <c r="B23">
        <f>R25</f>
        <v>126.304</v>
      </c>
      <c r="C23">
        <f>R20</f>
        <v>349.41800000000001</v>
      </c>
      <c r="D23">
        <f>R21</f>
        <v>223.31</v>
      </c>
      <c r="E23">
        <f>R22</f>
        <v>177.61799999999999</v>
      </c>
      <c r="F23">
        <f>R23</f>
        <v>186.68199999999999</v>
      </c>
      <c r="G23">
        <f>R24</f>
        <v>305.03199999999998</v>
      </c>
      <c r="N23" s="13"/>
      <c r="O23" s="13" t="s">
        <v>25</v>
      </c>
      <c r="P23" s="13" t="s">
        <v>20</v>
      </c>
      <c r="Q23" s="22">
        <f t="shared" si="0"/>
        <v>179074.4</v>
      </c>
      <c r="R23" s="22">
        <f t="shared" si="1"/>
        <v>186.68199999999999</v>
      </c>
      <c r="S23" s="16">
        <f t="shared" si="2"/>
        <v>16.752813355789549</v>
      </c>
      <c r="T23" s="2">
        <f t="shared" si="3"/>
        <v>179157</v>
      </c>
      <c r="U23" s="2">
        <f t="shared" si="4"/>
        <v>179567</v>
      </c>
      <c r="V23" s="2">
        <f t="shared" si="5"/>
        <v>179499</v>
      </c>
      <c r="W23" s="2">
        <f t="shared" si="6"/>
        <v>178066</v>
      </c>
      <c r="X23" s="2">
        <f t="shared" si="7"/>
        <v>179083</v>
      </c>
      <c r="Y23" s="2">
        <f t="shared" si="8"/>
        <v>183.11</v>
      </c>
      <c r="Z23" s="2">
        <f t="shared" si="9"/>
        <v>183.36</v>
      </c>
      <c r="AA23" s="2">
        <f t="shared" si="10"/>
        <v>191.77</v>
      </c>
      <c r="AB23" s="2">
        <f t="shared" si="11"/>
        <v>189.32</v>
      </c>
      <c r="AC23" s="2">
        <f t="shared" si="12"/>
        <v>185.85</v>
      </c>
      <c r="AD23" s="1">
        <f t="shared" si="13"/>
        <v>0.52681011250330834</v>
      </c>
      <c r="AE23" s="1">
        <f t="shared" si="14"/>
        <v>0.94648923660018358</v>
      </c>
      <c r="AF23" s="13" t="s">
        <v>20</v>
      </c>
      <c r="AG23" s="2"/>
    </row>
    <row r="24" spans="1:33">
      <c r="A24" t="s">
        <v>24</v>
      </c>
      <c r="B24">
        <f>R31</f>
        <v>112.41</v>
      </c>
      <c r="C24">
        <f>R26</f>
        <v>350.25599999999997</v>
      </c>
      <c r="D24">
        <f>R27</f>
        <v>215.62199999999999</v>
      </c>
      <c r="E24">
        <f>R28</f>
        <v>134.982</v>
      </c>
      <c r="F24">
        <f>R29</f>
        <v>175.874</v>
      </c>
      <c r="G24">
        <f>R30</f>
        <v>326.40800000000002</v>
      </c>
      <c r="N24" s="13"/>
      <c r="O24" s="13" t="s">
        <v>25</v>
      </c>
      <c r="P24" s="13" t="s">
        <v>19</v>
      </c>
      <c r="Q24" s="22">
        <f t="shared" si="0"/>
        <v>182803.8</v>
      </c>
      <c r="R24" s="22">
        <f t="shared" si="1"/>
        <v>305.03199999999998</v>
      </c>
      <c r="S24" s="16">
        <f t="shared" si="2"/>
        <v>16.411037407318666</v>
      </c>
      <c r="T24" s="2">
        <f t="shared" si="3"/>
        <v>182490</v>
      </c>
      <c r="U24" s="2">
        <f t="shared" si="4"/>
        <v>183976</v>
      </c>
      <c r="V24" s="2">
        <f t="shared" si="5"/>
        <v>182799</v>
      </c>
      <c r="W24" s="2">
        <f t="shared" si="6"/>
        <v>183096</v>
      </c>
      <c r="X24" s="2">
        <f t="shared" si="7"/>
        <v>181658</v>
      </c>
      <c r="Y24" s="2">
        <f t="shared" si="8"/>
        <v>305.26</v>
      </c>
      <c r="Z24" s="2">
        <f t="shared" si="9"/>
        <v>310.33</v>
      </c>
      <c r="AA24" s="2">
        <f t="shared" si="10"/>
        <v>309.86</v>
      </c>
      <c r="AB24" s="2">
        <f t="shared" si="11"/>
        <v>310.44</v>
      </c>
      <c r="AC24" s="2">
        <f t="shared" si="12"/>
        <v>289.27</v>
      </c>
      <c r="AD24" s="1">
        <f t="shared" si="13"/>
        <v>0.34082831984826623</v>
      </c>
      <c r="AE24" s="1">
        <f t="shared" si="14"/>
        <v>2.2676994124001548</v>
      </c>
      <c r="AF24" s="13" t="s">
        <v>19</v>
      </c>
      <c r="AG24" s="2"/>
    </row>
    <row r="25" spans="1:33">
      <c r="A25" t="s">
        <v>18</v>
      </c>
      <c r="B25">
        <f>R37</f>
        <v>113.93800000000002</v>
      </c>
      <c r="C25">
        <f>R32</f>
        <v>344.28999999999996</v>
      </c>
      <c r="D25">
        <f>R33</f>
        <v>217.03800000000001</v>
      </c>
      <c r="E25">
        <f>R34</f>
        <v>168.79400000000001</v>
      </c>
      <c r="F25">
        <f>R35</f>
        <v>181.08799999999997</v>
      </c>
      <c r="G25">
        <f>R36</f>
        <v>290.858</v>
      </c>
      <c r="N25" s="18">
        <f>MAX(S20:S25)</f>
        <v>17.243361305897231</v>
      </c>
      <c r="O25" s="13" t="s">
        <v>25</v>
      </c>
      <c r="P25" s="13" t="s">
        <v>17</v>
      </c>
      <c r="Q25" s="22">
        <f t="shared" si="0"/>
        <v>173980</v>
      </c>
      <c r="R25" s="22">
        <f t="shared" si="1"/>
        <v>126.304</v>
      </c>
      <c r="S25" s="16">
        <f t="shared" si="2"/>
        <v>17.243361305897231</v>
      </c>
      <c r="T25" s="2">
        <f t="shared" si="3"/>
        <v>174613</v>
      </c>
      <c r="U25" s="2">
        <f t="shared" si="4"/>
        <v>174488</v>
      </c>
      <c r="V25" s="2">
        <f t="shared" si="5"/>
        <v>173816</v>
      </c>
      <c r="W25" s="2">
        <f t="shared" si="6"/>
        <v>174120</v>
      </c>
      <c r="X25" s="2">
        <f t="shared" si="7"/>
        <v>172863</v>
      </c>
      <c r="Y25" s="2">
        <f t="shared" si="8"/>
        <v>123.15</v>
      </c>
      <c r="Z25" s="2">
        <f t="shared" si="9"/>
        <v>126.17</v>
      </c>
      <c r="AA25" s="2">
        <f t="shared" si="10"/>
        <v>126.88</v>
      </c>
      <c r="AB25" s="2">
        <f t="shared" si="11"/>
        <v>124.83</v>
      </c>
      <c r="AC25" s="2">
        <f t="shared" si="12"/>
        <v>130.49</v>
      </c>
      <c r="AD25" s="1">
        <f t="shared" si="13"/>
        <v>0</v>
      </c>
      <c r="AE25" s="1">
        <f t="shared" si="14"/>
        <v>0.68457012058663547</v>
      </c>
      <c r="AF25" s="13" t="s">
        <v>17</v>
      </c>
      <c r="AG25" s="2"/>
    </row>
    <row r="26" spans="1:33">
      <c r="N26" s="13" t="s">
        <v>46</v>
      </c>
      <c r="O26" s="13" t="s">
        <v>24</v>
      </c>
      <c r="P26" s="13" t="s">
        <v>23</v>
      </c>
      <c r="Q26" s="22">
        <f t="shared" si="0"/>
        <v>6932.7559999999994</v>
      </c>
      <c r="R26" s="22">
        <f t="shared" si="1"/>
        <v>350.25599999999997</v>
      </c>
      <c r="S26" s="16">
        <f t="shared" si="2"/>
        <v>432.72834064836559</v>
      </c>
      <c r="T26" s="2">
        <f t="shared" si="3"/>
        <v>6887.77</v>
      </c>
      <c r="U26" s="2">
        <f t="shared" si="4"/>
        <v>6952.02</v>
      </c>
      <c r="V26" s="2">
        <f t="shared" si="5"/>
        <v>6900.82</v>
      </c>
      <c r="W26" s="2">
        <f t="shared" si="6"/>
        <v>6948.49</v>
      </c>
      <c r="X26" s="2">
        <f t="shared" si="7"/>
        <v>6974.68</v>
      </c>
      <c r="Y26" s="2">
        <f t="shared" si="8"/>
        <v>357.64</v>
      </c>
      <c r="Z26" s="2">
        <f t="shared" si="9"/>
        <v>349.46</v>
      </c>
      <c r="AA26" s="2">
        <f t="shared" si="10"/>
        <v>347.4</v>
      </c>
      <c r="AB26" s="2">
        <f t="shared" si="11"/>
        <v>353.44</v>
      </c>
      <c r="AC26" s="2">
        <f t="shared" si="12"/>
        <v>343.34</v>
      </c>
      <c r="AD26" s="1">
        <f t="shared" si="13"/>
        <v>1.0891315867969986</v>
      </c>
      <c r="AE26" s="1">
        <f t="shared" si="14"/>
        <v>1.3766054264022078</v>
      </c>
      <c r="AF26" s="13" t="s">
        <v>23</v>
      </c>
      <c r="AG26" s="2"/>
    </row>
    <row r="27" spans="1:33">
      <c r="A27" t="s">
        <v>45</v>
      </c>
      <c r="B27" t="s">
        <v>17</v>
      </c>
      <c r="C27" t="s">
        <v>23</v>
      </c>
      <c r="D27" t="s">
        <v>31</v>
      </c>
      <c r="E27" t="s">
        <v>21</v>
      </c>
      <c r="F27" t="s">
        <v>20</v>
      </c>
      <c r="G27" t="s">
        <v>19</v>
      </c>
      <c r="H27" s="17"/>
      <c r="I27" s="17"/>
      <c r="J27" s="17"/>
      <c r="K27" s="17"/>
      <c r="L27" s="17"/>
      <c r="M27" s="17"/>
      <c r="N27" s="13" t="s">
        <v>44</v>
      </c>
      <c r="O27" s="13" t="s">
        <v>24</v>
      </c>
      <c r="P27" s="13" t="s">
        <v>22</v>
      </c>
      <c r="Q27" s="22">
        <f t="shared" si="0"/>
        <v>6978.1320000000005</v>
      </c>
      <c r="R27" s="22">
        <f t="shared" si="1"/>
        <v>215.62199999999999</v>
      </c>
      <c r="S27" s="16">
        <f t="shared" si="2"/>
        <v>429.9144814113576</v>
      </c>
      <c r="T27" s="2">
        <f t="shared" si="3"/>
        <v>6954.35</v>
      </c>
      <c r="U27" s="2">
        <f t="shared" si="4"/>
        <v>6946.2</v>
      </c>
      <c r="V27" s="2">
        <f t="shared" si="5"/>
        <v>6937.07</v>
      </c>
      <c r="W27" s="2">
        <f t="shared" si="6"/>
        <v>6998.52</v>
      </c>
      <c r="X27" s="2">
        <f t="shared" si="7"/>
        <v>7054.52</v>
      </c>
      <c r="Y27" s="2">
        <f t="shared" si="8"/>
        <v>213.91</v>
      </c>
      <c r="Z27" s="2">
        <f t="shared" si="9"/>
        <v>212.72</v>
      </c>
      <c r="AA27" s="2">
        <f t="shared" si="10"/>
        <v>211.45</v>
      </c>
      <c r="AB27" s="2">
        <f t="shared" si="11"/>
        <v>212.19</v>
      </c>
      <c r="AC27" s="2">
        <f t="shared" si="12"/>
        <v>227.84</v>
      </c>
      <c r="AD27" s="1">
        <f t="shared" si="13"/>
        <v>1.1643223633477102</v>
      </c>
      <c r="AE27" s="1">
        <f t="shared" si="14"/>
        <v>1.7221728644360887</v>
      </c>
      <c r="AF27" s="13" t="s">
        <v>22</v>
      </c>
      <c r="AG27" s="2"/>
    </row>
    <row r="28" spans="1:33">
      <c r="A28" t="s">
        <v>28</v>
      </c>
      <c r="B28">
        <f t="shared" ref="B28:G33" si="17">B20/$B$35</f>
        <v>26.424500000000002</v>
      </c>
      <c r="C28">
        <f t="shared" si="17"/>
        <v>87.042000000000002</v>
      </c>
      <c r="D28">
        <f t="shared" si="17"/>
        <v>53.027999999999999</v>
      </c>
      <c r="E28">
        <f t="shared" si="17"/>
        <v>40.793999999999997</v>
      </c>
      <c r="F28">
        <f t="shared" si="17"/>
        <v>43.975999999999999</v>
      </c>
      <c r="G28">
        <f t="shared" si="17"/>
        <v>73.204999999999998</v>
      </c>
      <c r="H28" s="2"/>
      <c r="I28" s="5"/>
      <c r="J28" s="5"/>
      <c r="K28" s="5"/>
      <c r="L28" s="2"/>
      <c r="M28" s="2"/>
      <c r="N28" s="13"/>
      <c r="O28" s="13" t="s">
        <v>24</v>
      </c>
      <c r="P28" s="13" t="s">
        <v>21</v>
      </c>
      <c r="Q28" s="22">
        <f t="shared" si="0"/>
        <v>6663.2660000000005</v>
      </c>
      <c r="R28" s="22">
        <f t="shared" si="1"/>
        <v>134.982</v>
      </c>
      <c r="S28" s="16">
        <f t="shared" si="2"/>
        <v>450.22966215066299</v>
      </c>
      <c r="T28" s="2">
        <f t="shared" si="3"/>
        <v>6797.22</v>
      </c>
      <c r="U28" s="2">
        <f t="shared" si="4"/>
        <v>6649.32</v>
      </c>
      <c r="V28" s="2">
        <f t="shared" si="5"/>
        <v>6710.58</v>
      </c>
      <c r="W28" s="2">
        <f t="shared" si="6"/>
        <v>6731.33</v>
      </c>
      <c r="X28" s="2">
        <f t="shared" si="7"/>
        <v>6427.88</v>
      </c>
      <c r="Y28" s="2">
        <f t="shared" si="8"/>
        <v>138.94999999999999</v>
      </c>
      <c r="Z28" s="2">
        <f t="shared" si="9"/>
        <v>136.57</v>
      </c>
      <c r="AA28" s="2">
        <f t="shared" si="10"/>
        <v>135.79</v>
      </c>
      <c r="AB28" s="2">
        <f t="shared" si="11"/>
        <v>129.87</v>
      </c>
      <c r="AC28" s="2">
        <f t="shared" si="12"/>
        <v>133.72999999999999</v>
      </c>
      <c r="AD28" s="1">
        <f t="shared" si="13"/>
        <v>2.3534535459717136</v>
      </c>
      <c r="AE28" s="1">
        <f t="shared" si="14"/>
        <v>0.85348257158538254</v>
      </c>
      <c r="AF28" s="13" t="s">
        <v>21</v>
      </c>
      <c r="AG28" s="2"/>
    </row>
    <row r="29" spans="1:33">
      <c r="A29" t="s">
        <v>27</v>
      </c>
      <c r="B29">
        <f t="shared" si="17"/>
        <v>20.494999999999997</v>
      </c>
      <c r="C29">
        <f t="shared" si="17"/>
        <v>87.753999999999991</v>
      </c>
      <c r="D29">
        <f t="shared" si="17"/>
        <v>49.794499999999992</v>
      </c>
      <c r="E29">
        <f t="shared" si="17"/>
        <v>35.184000000000005</v>
      </c>
      <c r="F29">
        <f t="shared" si="17"/>
        <v>36.933</v>
      </c>
      <c r="G29">
        <f t="shared" si="17"/>
        <v>73.314499999999995</v>
      </c>
      <c r="H29" s="2"/>
      <c r="I29" s="5"/>
      <c r="J29" s="5"/>
      <c r="K29" s="5"/>
      <c r="L29" s="2"/>
      <c r="M29" s="2"/>
      <c r="N29" s="13"/>
      <c r="O29" s="13" t="s">
        <v>24</v>
      </c>
      <c r="P29" s="13" t="s">
        <v>20</v>
      </c>
      <c r="Q29" s="22">
        <f t="shared" si="0"/>
        <v>7020.8399999999992</v>
      </c>
      <c r="R29" s="22">
        <f t="shared" si="1"/>
        <v>175.874</v>
      </c>
      <c r="S29" s="16">
        <f t="shared" si="2"/>
        <v>427.29929751995491</v>
      </c>
      <c r="T29" s="2">
        <f t="shared" si="3"/>
        <v>7014.72</v>
      </c>
      <c r="U29" s="2">
        <f t="shared" si="4"/>
        <v>6985.72</v>
      </c>
      <c r="V29" s="2">
        <f t="shared" si="5"/>
        <v>6999.25</v>
      </c>
      <c r="W29" s="2">
        <f t="shared" si="6"/>
        <v>7102.94</v>
      </c>
      <c r="X29" s="2">
        <f t="shared" si="7"/>
        <v>7001.57</v>
      </c>
      <c r="Y29" s="2">
        <f t="shared" si="8"/>
        <v>170</v>
      </c>
      <c r="Z29" s="2">
        <f t="shared" si="9"/>
        <v>183.94</v>
      </c>
      <c r="AA29" s="2">
        <f t="shared" si="10"/>
        <v>175.3</v>
      </c>
      <c r="AB29" s="2">
        <f t="shared" si="11"/>
        <v>175.46</v>
      </c>
      <c r="AC29" s="2">
        <f t="shared" si="12"/>
        <v>174.67</v>
      </c>
      <c r="AD29" s="1">
        <f t="shared" si="13"/>
        <v>1.4571467544164345</v>
      </c>
      <c r="AE29" s="1">
        <f t="shared" si="14"/>
        <v>1.2594314193317553</v>
      </c>
      <c r="AF29" s="13" t="s">
        <v>20</v>
      </c>
      <c r="AG29" s="2"/>
    </row>
    <row r="30" spans="1:33">
      <c r="A30" t="s">
        <v>26</v>
      </c>
      <c r="B30">
        <f t="shared" si="17"/>
        <v>17.205500000000001</v>
      </c>
      <c r="C30">
        <f t="shared" si="17"/>
        <v>89.767500000000013</v>
      </c>
      <c r="D30">
        <f t="shared" si="17"/>
        <v>46.737000000000009</v>
      </c>
      <c r="E30">
        <f t="shared" si="17"/>
        <v>31.759999999999998</v>
      </c>
      <c r="F30">
        <f t="shared" si="17"/>
        <v>34.56750000000001</v>
      </c>
      <c r="G30">
        <f t="shared" si="17"/>
        <v>78.823000000000008</v>
      </c>
      <c r="H30" s="2"/>
      <c r="I30" s="5"/>
      <c r="J30" s="5"/>
      <c r="K30" s="5"/>
      <c r="L30" s="2"/>
      <c r="M30" s="2"/>
      <c r="N30" s="13"/>
      <c r="O30" s="13" t="s">
        <v>24</v>
      </c>
      <c r="P30" s="13" t="s">
        <v>19</v>
      </c>
      <c r="Q30" s="22">
        <f t="shared" si="0"/>
        <v>7056.3740000000007</v>
      </c>
      <c r="R30" s="22">
        <f t="shared" si="1"/>
        <v>326.40800000000002</v>
      </c>
      <c r="S30" s="16">
        <f t="shared" si="2"/>
        <v>425.14753327984027</v>
      </c>
      <c r="T30" s="2">
        <f t="shared" si="3"/>
        <v>7073.04</v>
      </c>
      <c r="U30" s="2">
        <f t="shared" si="4"/>
        <v>7025.16</v>
      </c>
      <c r="V30" s="2">
        <f t="shared" si="5"/>
        <v>7059.04</v>
      </c>
      <c r="W30" s="2">
        <f t="shared" si="6"/>
        <v>7053.16</v>
      </c>
      <c r="X30" s="2">
        <f t="shared" si="7"/>
        <v>7071.47</v>
      </c>
      <c r="Y30" s="2">
        <f t="shared" si="8"/>
        <v>341.66</v>
      </c>
      <c r="Z30" s="2">
        <f t="shared" si="9"/>
        <v>323.02999999999997</v>
      </c>
      <c r="AA30" s="2">
        <f t="shared" si="10"/>
        <v>330.11</v>
      </c>
      <c r="AB30" s="2">
        <f t="shared" si="11"/>
        <v>316.89</v>
      </c>
      <c r="AC30" s="2">
        <f t="shared" si="12"/>
        <v>320.35000000000002</v>
      </c>
      <c r="AD30" s="1">
        <f t="shared" si="13"/>
        <v>0.7701070699373036</v>
      </c>
      <c r="AE30" s="1">
        <f t="shared" si="14"/>
        <v>2.4527754687292549</v>
      </c>
      <c r="AF30" s="13" t="s">
        <v>19</v>
      </c>
      <c r="AG30" s="2"/>
    </row>
    <row r="31" spans="1:33">
      <c r="A31" t="s">
        <v>25</v>
      </c>
      <c r="B31">
        <f t="shared" si="17"/>
        <v>31.576000000000001</v>
      </c>
      <c r="C31">
        <f t="shared" si="17"/>
        <v>87.354500000000002</v>
      </c>
      <c r="D31">
        <f t="shared" si="17"/>
        <v>55.827500000000001</v>
      </c>
      <c r="E31">
        <f t="shared" si="17"/>
        <v>44.404499999999999</v>
      </c>
      <c r="F31">
        <f t="shared" si="17"/>
        <v>46.670499999999997</v>
      </c>
      <c r="G31">
        <f t="shared" si="17"/>
        <v>76.257999999999996</v>
      </c>
      <c r="H31" s="2"/>
      <c r="I31" s="5"/>
      <c r="J31" s="5"/>
      <c r="K31" s="5"/>
      <c r="L31" s="2"/>
      <c r="M31" s="2"/>
      <c r="N31" s="18">
        <f>MAX(S26:S31)</f>
        <v>450.22966215066299</v>
      </c>
      <c r="O31" s="13" t="s">
        <v>24</v>
      </c>
      <c r="P31" s="13" t="s">
        <v>17</v>
      </c>
      <c r="Q31" s="22">
        <f t="shared" si="0"/>
        <v>6840.2280000000001</v>
      </c>
      <c r="R31" s="22">
        <f t="shared" si="1"/>
        <v>112.41</v>
      </c>
      <c r="S31" s="16">
        <f t="shared" si="2"/>
        <v>438.58187183234242</v>
      </c>
      <c r="T31" s="2">
        <f t="shared" si="3"/>
        <v>6873.28</v>
      </c>
      <c r="U31" s="2">
        <f t="shared" si="4"/>
        <v>6846.73</v>
      </c>
      <c r="V31" s="2">
        <f t="shared" si="5"/>
        <v>6867.35</v>
      </c>
      <c r="W31" s="2">
        <f t="shared" si="6"/>
        <v>6748.37</v>
      </c>
      <c r="X31" s="2">
        <f t="shared" si="7"/>
        <v>6865.41</v>
      </c>
      <c r="Y31" s="2">
        <f t="shared" si="8"/>
        <v>116.53</v>
      </c>
      <c r="Z31" s="2">
        <f t="shared" si="9"/>
        <v>111.71</v>
      </c>
      <c r="AA31" s="2">
        <f t="shared" si="10"/>
        <v>115.52</v>
      </c>
      <c r="AB31" s="2">
        <f t="shared" si="11"/>
        <v>108.68</v>
      </c>
      <c r="AC31" s="2">
        <f t="shared" si="12"/>
        <v>109.61</v>
      </c>
      <c r="AD31" s="1">
        <f t="shared" si="13"/>
        <v>0</v>
      </c>
      <c r="AE31" s="1">
        <f t="shared" si="14"/>
        <v>0.87401194213809186</v>
      </c>
      <c r="AF31" s="13" t="s">
        <v>17</v>
      </c>
      <c r="AG31" s="2"/>
    </row>
    <row r="32" spans="1:33">
      <c r="A32" t="s">
        <v>24</v>
      </c>
      <c r="B32">
        <f t="shared" si="17"/>
        <v>28.102499999999999</v>
      </c>
      <c r="C32">
        <f t="shared" si="17"/>
        <v>87.563999999999993</v>
      </c>
      <c r="D32">
        <f t="shared" si="17"/>
        <v>53.905499999999996</v>
      </c>
      <c r="E32">
        <f t="shared" si="17"/>
        <v>33.7455</v>
      </c>
      <c r="F32">
        <f t="shared" si="17"/>
        <v>43.968499999999999</v>
      </c>
      <c r="G32">
        <f t="shared" si="17"/>
        <v>81.602000000000004</v>
      </c>
      <c r="H32" s="17"/>
      <c r="I32" s="17"/>
      <c r="J32" s="17"/>
      <c r="K32" s="17"/>
      <c r="L32" s="17"/>
      <c r="M32" s="17"/>
      <c r="N32" s="13" t="s">
        <v>43</v>
      </c>
      <c r="O32" s="13" t="s">
        <v>18</v>
      </c>
      <c r="P32" s="13" t="s">
        <v>23</v>
      </c>
      <c r="Q32" s="22">
        <f t="shared" si="0"/>
        <v>55807.48</v>
      </c>
      <c r="R32" s="22">
        <f t="shared" si="1"/>
        <v>344.28999999999996</v>
      </c>
      <c r="S32" s="16">
        <f t="shared" si="2"/>
        <v>53.75623482730272</v>
      </c>
      <c r="T32" s="2">
        <f t="shared" si="3"/>
        <v>55747.9</v>
      </c>
      <c r="U32" s="2">
        <f t="shared" si="4"/>
        <v>55954.3</v>
      </c>
      <c r="V32" s="2">
        <f t="shared" si="5"/>
        <v>55706.2</v>
      </c>
      <c r="W32" s="2">
        <f t="shared" si="6"/>
        <v>55639.5</v>
      </c>
      <c r="X32" s="2">
        <f t="shared" si="7"/>
        <v>55989.5</v>
      </c>
      <c r="Y32" s="2">
        <f t="shared" si="8"/>
        <v>340.05</v>
      </c>
      <c r="Z32" s="2">
        <f t="shared" si="9"/>
        <v>346.47</v>
      </c>
      <c r="AA32" s="2">
        <f t="shared" si="10"/>
        <v>339.09</v>
      </c>
      <c r="AB32" s="2">
        <f t="shared" si="11"/>
        <v>339.74</v>
      </c>
      <c r="AC32" s="2">
        <f t="shared" si="12"/>
        <v>356.1</v>
      </c>
      <c r="AD32" s="1">
        <f t="shared" si="13"/>
        <v>0.16707703276010089</v>
      </c>
      <c r="AE32" s="1">
        <f t="shared" si="14"/>
        <v>1.8112003961461614</v>
      </c>
      <c r="AF32" s="13" t="s">
        <v>23</v>
      </c>
      <c r="AG32" s="2"/>
    </row>
    <row r="33" spans="1:33">
      <c r="A33" t="s">
        <v>18</v>
      </c>
      <c r="B33">
        <f t="shared" si="17"/>
        <v>28.484500000000004</v>
      </c>
      <c r="C33">
        <f t="shared" si="17"/>
        <v>86.072499999999991</v>
      </c>
      <c r="D33">
        <f t="shared" si="17"/>
        <v>54.259500000000003</v>
      </c>
      <c r="E33">
        <f t="shared" si="17"/>
        <v>42.198500000000003</v>
      </c>
      <c r="F33">
        <f t="shared" si="17"/>
        <v>45.271999999999991</v>
      </c>
      <c r="G33">
        <f t="shared" si="17"/>
        <v>72.714500000000001</v>
      </c>
      <c r="H33" s="2"/>
      <c r="I33" s="5"/>
      <c r="J33" s="5"/>
      <c r="K33" s="5"/>
      <c r="L33" s="2"/>
      <c r="M33" s="2"/>
      <c r="N33" s="13" t="s">
        <v>42</v>
      </c>
      <c r="O33" s="13" t="s">
        <v>18</v>
      </c>
      <c r="P33" s="13" t="s">
        <v>22</v>
      </c>
      <c r="Q33" s="22">
        <f t="shared" si="0"/>
        <v>57307.979999999996</v>
      </c>
      <c r="R33" s="22">
        <f t="shared" si="1"/>
        <v>217.03800000000001</v>
      </c>
      <c r="S33" s="16">
        <f t="shared" si="2"/>
        <v>52.348730490936866</v>
      </c>
      <c r="T33" s="2">
        <f t="shared" si="3"/>
        <v>57262.5</v>
      </c>
      <c r="U33" s="2">
        <f t="shared" si="4"/>
        <v>57301</v>
      </c>
      <c r="V33" s="2">
        <f t="shared" si="5"/>
        <v>57495.9</v>
      </c>
      <c r="W33" s="2">
        <f t="shared" si="6"/>
        <v>57313.2</v>
      </c>
      <c r="X33" s="2">
        <f t="shared" si="7"/>
        <v>57167.3</v>
      </c>
      <c r="Y33" s="2">
        <f t="shared" si="8"/>
        <v>212.73</v>
      </c>
      <c r="Z33" s="2">
        <f t="shared" si="9"/>
        <v>219.59</v>
      </c>
      <c r="AA33" s="2">
        <f t="shared" si="10"/>
        <v>213.05</v>
      </c>
      <c r="AB33" s="2">
        <f t="shared" si="11"/>
        <v>215.07</v>
      </c>
      <c r="AC33" s="2">
        <f t="shared" si="12"/>
        <v>224.75</v>
      </c>
      <c r="AD33" s="1">
        <f t="shared" si="13"/>
        <v>0.38424393738369411</v>
      </c>
      <c r="AE33" s="1">
        <f t="shared" si="14"/>
        <v>1.2767370520197181</v>
      </c>
      <c r="AF33" s="13" t="s">
        <v>22</v>
      </c>
      <c r="AG33" s="2"/>
    </row>
    <row r="34" spans="1:33">
      <c r="A34" t="s">
        <v>41</v>
      </c>
      <c r="B34" s="12">
        <f t="shared" ref="B34:G34" si="18">AVERAGE(B28:B33)</f>
        <v>25.38133333333333</v>
      </c>
      <c r="C34" s="12">
        <f t="shared" si="18"/>
        <v>87.592416666666665</v>
      </c>
      <c r="D34" s="12">
        <f t="shared" si="18"/>
        <v>52.25866666666667</v>
      </c>
      <c r="E34" s="12">
        <f t="shared" si="18"/>
        <v>38.014416666666662</v>
      </c>
      <c r="F34" s="12">
        <f t="shared" si="18"/>
        <v>41.897916666666667</v>
      </c>
      <c r="G34" s="12">
        <f t="shared" si="18"/>
        <v>75.986166666666662</v>
      </c>
      <c r="H34" s="2"/>
      <c r="I34" s="5"/>
      <c r="J34" s="5"/>
      <c r="K34" s="5"/>
      <c r="L34" s="2"/>
      <c r="M34" s="2"/>
      <c r="N34" s="13"/>
      <c r="O34" s="13" t="s">
        <v>18</v>
      </c>
      <c r="P34" s="13" t="s">
        <v>21</v>
      </c>
      <c r="Q34" s="22">
        <f t="shared" si="0"/>
        <v>56163.42</v>
      </c>
      <c r="R34" s="22">
        <f t="shared" si="1"/>
        <v>168.79400000000001</v>
      </c>
      <c r="S34" s="16">
        <f t="shared" si="2"/>
        <v>53.415550548737954</v>
      </c>
      <c r="T34" s="2">
        <f t="shared" si="3"/>
        <v>55954.7</v>
      </c>
      <c r="U34" s="2">
        <f t="shared" si="4"/>
        <v>55700.2</v>
      </c>
      <c r="V34" s="2">
        <f t="shared" si="5"/>
        <v>56553</v>
      </c>
      <c r="W34" s="2">
        <f t="shared" si="6"/>
        <v>55911.199999999997</v>
      </c>
      <c r="X34" s="2">
        <f t="shared" si="7"/>
        <v>56698</v>
      </c>
      <c r="Y34" s="2">
        <f t="shared" si="8"/>
        <v>167.35</v>
      </c>
      <c r="Z34" s="2">
        <f t="shared" si="9"/>
        <v>172.63</v>
      </c>
      <c r="AA34" s="2">
        <f t="shared" si="10"/>
        <v>167.77</v>
      </c>
      <c r="AB34" s="2">
        <f t="shared" si="11"/>
        <v>169.58</v>
      </c>
      <c r="AC34" s="2">
        <f t="shared" si="12"/>
        <v>166.64</v>
      </c>
      <c r="AD34" s="1">
        <f t="shared" si="13"/>
        <v>0.70542442623732438</v>
      </c>
      <c r="AE34" s="1">
        <f t="shared" si="14"/>
        <v>0.60086032070690154</v>
      </c>
      <c r="AF34" s="13" t="s">
        <v>21</v>
      </c>
    </row>
    <row r="35" spans="1:33">
      <c r="A35" t="s">
        <v>40</v>
      </c>
      <c r="B35">
        <v>4</v>
      </c>
      <c r="H35" s="2"/>
      <c r="I35" s="5"/>
      <c r="J35" s="5"/>
      <c r="K35" s="5"/>
      <c r="L35" s="2"/>
      <c r="M35" s="2"/>
      <c r="N35" s="13"/>
      <c r="O35" s="13" t="s">
        <v>18</v>
      </c>
      <c r="P35" s="13" t="s">
        <v>20</v>
      </c>
      <c r="Q35" s="22">
        <f t="shared" si="0"/>
        <v>57385.219999999994</v>
      </c>
      <c r="R35" s="22">
        <f t="shared" si="1"/>
        <v>181.08799999999997</v>
      </c>
      <c r="S35" s="16">
        <f t="shared" si="2"/>
        <v>52.278269561395781</v>
      </c>
      <c r="T35" s="2">
        <f t="shared" si="3"/>
        <v>57444</v>
      </c>
      <c r="U35" s="2">
        <f t="shared" si="4"/>
        <v>57209.5</v>
      </c>
      <c r="V35" s="2">
        <f t="shared" si="5"/>
        <v>57429.4</v>
      </c>
      <c r="W35" s="2">
        <f t="shared" si="6"/>
        <v>57429</v>
      </c>
      <c r="X35" s="2">
        <f t="shared" si="7"/>
        <v>57414.2</v>
      </c>
      <c r="Y35" s="2">
        <f t="shared" si="8"/>
        <v>184.97</v>
      </c>
      <c r="Z35" s="2">
        <f t="shared" si="9"/>
        <v>187.19</v>
      </c>
      <c r="AA35" s="2">
        <f t="shared" si="10"/>
        <v>176.2</v>
      </c>
      <c r="AB35" s="2">
        <f t="shared" si="11"/>
        <v>181.28</v>
      </c>
      <c r="AC35" s="2">
        <f t="shared" si="12"/>
        <v>175.8</v>
      </c>
      <c r="AD35" s="1">
        <f t="shared" si="13"/>
        <v>0.27184390670545994</v>
      </c>
      <c r="AE35" s="1">
        <f t="shared" si="14"/>
        <v>1.2759596878428405</v>
      </c>
      <c r="AF35" s="13" t="s">
        <v>20</v>
      </c>
    </row>
    <row r="36" spans="1:33">
      <c r="H36" s="2"/>
      <c r="I36" s="5"/>
      <c r="J36" s="5"/>
      <c r="K36" s="5"/>
      <c r="L36" s="2"/>
      <c r="M36" s="2"/>
      <c r="N36" s="13"/>
      <c r="O36" s="13" t="s">
        <v>18</v>
      </c>
      <c r="P36" s="13" t="s">
        <v>19</v>
      </c>
      <c r="Q36" s="22">
        <f t="shared" si="0"/>
        <v>58416.5</v>
      </c>
      <c r="R36" s="22">
        <f t="shared" si="1"/>
        <v>290.858</v>
      </c>
      <c r="S36" s="16">
        <f t="shared" si="2"/>
        <v>51.355353367627295</v>
      </c>
      <c r="T36" s="2">
        <f t="shared" si="3"/>
        <v>58460.2</v>
      </c>
      <c r="U36" s="2">
        <f t="shared" si="4"/>
        <v>58246.7</v>
      </c>
      <c r="V36" s="2">
        <f t="shared" si="5"/>
        <v>58516.3</v>
      </c>
      <c r="W36" s="2">
        <f t="shared" si="6"/>
        <v>58668.5</v>
      </c>
      <c r="X36" s="2">
        <f t="shared" si="7"/>
        <v>58190.8</v>
      </c>
      <c r="Y36" s="2">
        <f t="shared" si="8"/>
        <v>293.52</v>
      </c>
      <c r="Z36" s="2">
        <f t="shared" si="9"/>
        <v>284.98</v>
      </c>
      <c r="AA36" s="2">
        <f t="shared" si="10"/>
        <v>289.94</v>
      </c>
      <c r="AB36" s="2">
        <f t="shared" si="11"/>
        <v>295.55</v>
      </c>
      <c r="AC36" s="2">
        <f t="shared" si="12"/>
        <v>290.3</v>
      </c>
      <c r="AD36" s="1">
        <f t="shared" si="13"/>
        <v>0.53841100042010481</v>
      </c>
      <c r="AE36" s="1">
        <f t="shared" si="14"/>
        <v>1.0062777946471821</v>
      </c>
      <c r="AF36" s="13" t="s">
        <v>19</v>
      </c>
    </row>
    <row r="37" spans="1:33">
      <c r="H37" s="2"/>
      <c r="I37" s="5"/>
      <c r="J37" s="5"/>
      <c r="K37" s="5"/>
      <c r="L37" s="2"/>
      <c r="M37" s="2"/>
      <c r="N37" s="18">
        <f>MAX(S32:S37)</f>
        <v>53.75623482730272</v>
      </c>
      <c r="O37" s="13" t="s">
        <v>18</v>
      </c>
      <c r="P37" s="13" t="s">
        <v>17</v>
      </c>
      <c r="Q37" s="22">
        <f t="shared" si="0"/>
        <v>55971.740000000005</v>
      </c>
      <c r="R37" s="22">
        <f t="shared" si="1"/>
        <v>113.93800000000002</v>
      </c>
      <c r="S37" s="16">
        <f t="shared" si="2"/>
        <v>53.598476659828684</v>
      </c>
      <c r="T37" s="2">
        <f t="shared" si="3"/>
        <v>56004.800000000003</v>
      </c>
      <c r="U37" s="2">
        <f t="shared" si="4"/>
        <v>55966.3</v>
      </c>
      <c r="V37" s="2">
        <f t="shared" si="5"/>
        <v>55908.6</v>
      </c>
      <c r="W37" s="2">
        <f t="shared" si="6"/>
        <v>55841.8</v>
      </c>
      <c r="X37" s="2">
        <f t="shared" si="7"/>
        <v>56137.2</v>
      </c>
      <c r="Y37" s="2">
        <f t="shared" si="8"/>
        <v>113.15</v>
      </c>
      <c r="Z37" s="2">
        <f t="shared" si="9"/>
        <v>116.25</v>
      </c>
      <c r="AA37" s="2">
        <f t="shared" si="10"/>
        <v>115.82</v>
      </c>
      <c r="AB37" s="2">
        <f t="shared" si="11"/>
        <v>111.54</v>
      </c>
      <c r="AC37" s="2">
        <f t="shared" si="12"/>
        <v>112.93</v>
      </c>
      <c r="AD37" s="1">
        <f t="shared" si="13"/>
        <v>0</v>
      </c>
      <c r="AE37" s="1">
        <f t="shared" si="14"/>
        <v>0.50427361124690906</v>
      </c>
      <c r="AF37" s="13" t="s">
        <v>17</v>
      </c>
    </row>
    <row r="38" spans="1:33">
      <c r="H38" s="2"/>
      <c r="I38" s="2"/>
      <c r="J38" s="2"/>
      <c r="K38" s="2"/>
      <c r="L38" s="5"/>
      <c r="M38" s="5"/>
      <c r="S38" s="2"/>
    </row>
    <row r="39" spans="1:33">
      <c r="A39" s="17" t="s">
        <v>39</v>
      </c>
      <c r="C39" t="s">
        <v>38</v>
      </c>
      <c r="D39" t="s">
        <v>37</v>
      </c>
      <c r="E39" t="s">
        <v>36</v>
      </c>
      <c r="F39" t="s">
        <v>35</v>
      </c>
      <c r="G39" t="s">
        <v>34</v>
      </c>
      <c r="K39" s="2"/>
      <c r="L39" s="5"/>
      <c r="M39" s="5"/>
      <c r="N39" s="5"/>
      <c r="O39" s="2"/>
      <c r="P39" s="2"/>
      <c r="S39" s="2"/>
    </row>
    <row r="40" spans="1:33">
      <c r="A40" s="13" t="s">
        <v>28</v>
      </c>
      <c r="B40" s="13" t="s">
        <v>23</v>
      </c>
      <c r="C40" s="11">
        <v>58167.6</v>
      </c>
      <c r="D40" s="11">
        <v>58533.4</v>
      </c>
      <c r="E40" s="11">
        <v>58712.7</v>
      </c>
      <c r="F40" s="11">
        <v>58879</v>
      </c>
      <c r="G40" s="11">
        <v>58649.9</v>
      </c>
      <c r="H40" s="20" t="s">
        <v>33</v>
      </c>
      <c r="K40" s="2"/>
      <c r="L40" s="5"/>
      <c r="M40" s="5"/>
      <c r="N40" s="5"/>
      <c r="O40" s="2"/>
      <c r="P40" s="2"/>
      <c r="R40" s="13"/>
      <c r="S40" s="16" t="s">
        <v>32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33">
      <c r="A41" s="13" t="s">
        <v>28</v>
      </c>
      <c r="B41" s="13" t="s">
        <v>31</v>
      </c>
      <c r="C41" s="11">
        <v>60361.599999999999</v>
      </c>
      <c r="D41" s="11">
        <v>60195.199999999997</v>
      </c>
      <c r="E41" s="11">
        <v>60356.1</v>
      </c>
      <c r="F41" s="11">
        <v>60332.800000000003</v>
      </c>
      <c r="G41" s="11">
        <v>60165</v>
      </c>
      <c r="H41" s="20"/>
      <c r="K41" s="2"/>
      <c r="L41" s="5"/>
      <c r="M41" s="5"/>
      <c r="N41" s="5"/>
      <c r="O41" s="2"/>
      <c r="P41" s="2"/>
      <c r="R41" s="13" t="s">
        <v>28</v>
      </c>
      <c r="S41" s="13" t="s">
        <v>23</v>
      </c>
      <c r="T41" s="14">
        <f t="shared" ref="T41:X46" si="19">T2/T$7*100</f>
        <v>99.430265175407555</v>
      </c>
      <c r="U41" s="14">
        <f t="shared" si="19"/>
        <v>99.621823281525508</v>
      </c>
      <c r="V41" s="14">
        <f t="shared" si="19"/>
        <v>100.33769061319215</v>
      </c>
      <c r="W41" s="14">
        <f t="shared" si="19"/>
        <v>100.27538732196473</v>
      </c>
      <c r="X41" s="14">
        <f t="shared" si="19"/>
        <v>99.853241873396442</v>
      </c>
      <c r="Y41" s="14">
        <f t="shared" ref="Y41:AC50" si="20">Y2/$B$35</f>
        <v>86.212500000000006</v>
      </c>
      <c r="Z41" s="14">
        <f t="shared" si="20"/>
        <v>84.622500000000002</v>
      </c>
      <c r="AA41" s="14">
        <f t="shared" si="20"/>
        <v>86.87</v>
      </c>
      <c r="AB41" s="14">
        <f t="shared" si="20"/>
        <v>88.787499999999994</v>
      </c>
      <c r="AC41" s="14">
        <f t="shared" si="20"/>
        <v>88.717500000000001</v>
      </c>
    </row>
    <row r="42" spans="1:33">
      <c r="A42" s="13" t="s">
        <v>28</v>
      </c>
      <c r="B42" s="13" t="s">
        <v>21</v>
      </c>
      <c r="C42" s="11">
        <v>58779.1</v>
      </c>
      <c r="D42" s="11">
        <v>58763.7</v>
      </c>
      <c r="E42" s="11">
        <v>58915.5</v>
      </c>
      <c r="F42" s="11">
        <v>58388.1</v>
      </c>
      <c r="G42" s="11">
        <v>60535.3</v>
      </c>
      <c r="H42" s="20"/>
      <c r="K42" s="2"/>
      <c r="L42" s="5"/>
      <c r="M42" s="5"/>
      <c r="N42" s="5"/>
      <c r="O42" s="2"/>
      <c r="P42" s="2"/>
      <c r="R42" s="13" t="s">
        <v>28</v>
      </c>
      <c r="S42" s="13" t="s">
        <v>22</v>
      </c>
      <c r="T42" s="14">
        <f t="shared" si="19"/>
        <v>103.18063482784025</v>
      </c>
      <c r="U42" s="14">
        <f t="shared" si="19"/>
        <v>102.45014943256471</v>
      </c>
      <c r="V42" s="14">
        <f t="shared" si="19"/>
        <v>103.14619645185601</v>
      </c>
      <c r="W42" s="14">
        <f t="shared" si="19"/>
        <v>102.75131860627107</v>
      </c>
      <c r="X42" s="14">
        <f t="shared" si="19"/>
        <v>102.43274579006778</v>
      </c>
      <c r="Y42" s="14">
        <f t="shared" si="20"/>
        <v>54.7575</v>
      </c>
      <c r="Z42" s="14">
        <f t="shared" si="20"/>
        <v>53.302500000000002</v>
      </c>
      <c r="AA42" s="14">
        <f t="shared" si="20"/>
        <v>51.787500000000001</v>
      </c>
      <c r="AB42" s="14">
        <f t="shared" si="20"/>
        <v>52.877499999999998</v>
      </c>
      <c r="AC42" s="14">
        <f t="shared" si="20"/>
        <v>52.414999999999999</v>
      </c>
    </row>
    <row r="43" spans="1:33">
      <c r="A43" s="13" t="s">
        <v>28</v>
      </c>
      <c r="B43" s="13" t="s">
        <v>20</v>
      </c>
      <c r="C43" s="11">
        <v>59917.599999999999</v>
      </c>
      <c r="D43" s="11">
        <v>59978.3</v>
      </c>
      <c r="E43" s="11">
        <v>60046.9</v>
      </c>
      <c r="F43" s="11">
        <v>60037.599999999999</v>
      </c>
      <c r="G43" s="11">
        <v>60193.2</v>
      </c>
      <c r="H43" s="20"/>
      <c r="K43" s="2"/>
      <c r="L43" s="5"/>
      <c r="M43" s="5"/>
      <c r="N43" s="5"/>
      <c r="O43" s="2"/>
      <c r="P43" s="2"/>
      <c r="R43" s="13" t="s">
        <v>28</v>
      </c>
      <c r="S43" s="13" t="s">
        <v>21</v>
      </c>
      <c r="T43" s="14">
        <f t="shared" si="19"/>
        <v>100.47554823942879</v>
      </c>
      <c r="U43" s="14">
        <f t="shared" si="19"/>
        <v>100.01378591998038</v>
      </c>
      <c r="V43" s="14">
        <f t="shared" si="19"/>
        <v>100.68426782146831</v>
      </c>
      <c r="W43" s="14">
        <f t="shared" si="19"/>
        <v>99.43934751768218</v>
      </c>
      <c r="X43" s="14">
        <f t="shared" si="19"/>
        <v>103.06319282349357</v>
      </c>
      <c r="Y43" s="14">
        <f t="shared" si="20"/>
        <v>40.287500000000001</v>
      </c>
      <c r="Z43" s="14">
        <f t="shared" si="20"/>
        <v>39.837499999999999</v>
      </c>
      <c r="AA43" s="14">
        <f t="shared" si="20"/>
        <v>41.98</v>
      </c>
      <c r="AB43" s="14">
        <f t="shared" si="20"/>
        <v>39.442500000000003</v>
      </c>
      <c r="AC43" s="14">
        <f t="shared" si="20"/>
        <v>42.422499999999999</v>
      </c>
    </row>
    <row r="44" spans="1:33">
      <c r="A44" s="13" t="s">
        <v>28</v>
      </c>
      <c r="B44" s="13" t="s">
        <v>19</v>
      </c>
      <c r="C44" s="11">
        <v>61397.599999999999</v>
      </c>
      <c r="D44" s="11">
        <v>61109.5</v>
      </c>
      <c r="E44" s="11">
        <v>61303.6</v>
      </c>
      <c r="F44" s="11">
        <v>61125.2</v>
      </c>
      <c r="G44" s="11">
        <v>59761.599999999999</v>
      </c>
      <c r="H44" s="20"/>
      <c r="K44" s="2"/>
      <c r="L44" s="5"/>
      <c r="M44" s="5"/>
      <c r="N44" s="5"/>
      <c r="O44" s="2"/>
      <c r="P44" s="2"/>
      <c r="R44" s="13" t="s">
        <v>28</v>
      </c>
      <c r="S44" s="13" t="s">
        <v>20</v>
      </c>
      <c r="T44" s="14">
        <f t="shared" si="19"/>
        <v>102.42167214521484</v>
      </c>
      <c r="U44" s="14">
        <f t="shared" si="19"/>
        <v>102.08099313086754</v>
      </c>
      <c r="V44" s="14">
        <f t="shared" si="19"/>
        <v>102.6177858364764</v>
      </c>
      <c r="W44" s="14">
        <f t="shared" si="19"/>
        <v>102.24857069381596</v>
      </c>
      <c r="X44" s="14">
        <f t="shared" si="19"/>
        <v>102.48075714935108</v>
      </c>
      <c r="Y44" s="14">
        <f t="shared" si="20"/>
        <v>42.9925</v>
      </c>
      <c r="Z44" s="14">
        <f t="shared" si="20"/>
        <v>45.08</v>
      </c>
      <c r="AA44" s="14">
        <f t="shared" si="20"/>
        <v>44.3</v>
      </c>
      <c r="AB44" s="14">
        <f t="shared" si="20"/>
        <v>44.252499999999998</v>
      </c>
      <c r="AC44" s="14">
        <f t="shared" si="20"/>
        <v>43.255000000000003</v>
      </c>
    </row>
    <row r="45" spans="1:33">
      <c r="A45" s="13" t="s">
        <v>28</v>
      </c>
      <c r="B45" s="13" t="s">
        <v>17</v>
      </c>
      <c r="C45" s="11">
        <v>58500.9</v>
      </c>
      <c r="D45" s="11">
        <v>58755.6</v>
      </c>
      <c r="E45" s="11">
        <v>58515.1</v>
      </c>
      <c r="F45" s="11">
        <v>58717.3</v>
      </c>
      <c r="G45" s="11">
        <v>58736.1</v>
      </c>
      <c r="H45" s="20"/>
      <c r="K45" s="2"/>
      <c r="L45" s="5"/>
      <c r="M45" s="5"/>
      <c r="N45" s="5"/>
      <c r="O45" s="2"/>
      <c r="P45" s="2"/>
      <c r="R45" s="13" t="s">
        <v>28</v>
      </c>
      <c r="S45" s="13" t="s">
        <v>19</v>
      </c>
      <c r="T45" s="14">
        <f t="shared" si="19"/>
        <v>104.95154775396618</v>
      </c>
      <c r="U45" s="14">
        <f t="shared" si="19"/>
        <v>104.0062564249195</v>
      </c>
      <c r="V45" s="14">
        <f t="shared" si="19"/>
        <v>104.76543661379711</v>
      </c>
      <c r="W45" s="14">
        <f t="shared" si="19"/>
        <v>104.10083569918915</v>
      </c>
      <c r="X45" s="14">
        <f t="shared" si="19"/>
        <v>101.7459449980506</v>
      </c>
      <c r="Y45" s="14">
        <f t="shared" si="20"/>
        <v>74.984999999999999</v>
      </c>
      <c r="Z45" s="14">
        <f t="shared" si="20"/>
        <v>71.162499999999994</v>
      </c>
      <c r="AA45" s="14">
        <f t="shared" si="20"/>
        <v>71.912499999999994</v>
      </c>
      <c r="AB45" s="14">
        <f t="shared" si="20"/>
        <v>75.152500000000003</v>
      </c>
      <c r="AC45" s="14">
        <f t="shared" si="20"/>
        <v>72.8125</v>
      </c>
    </row>
    <row r="46" spans="1:33">
      <c r="A46" s="13" t="s">
        <v>27</v>
      </c>
      <c r="B46" s="13" t="s">
        <v>23</v>
      </c>
      <c r="C46" s="11">
        <v>74221.899999999994</v>
      </c>
      <c r="D46" s="11">
        <v>74618.100000000006</v>
      </c>
      <c r="E46" s="11">
        <v>74139.5</v>
      </c>
      <c r="F46" s="11">
        <v>74156.899999999994</v>
      </c>
      <c r="G46" s="11">
        <v>74240.399999999994</v>
      </c>
      <c r="H46" s="20"/>
      <c r="K46" s="2"/>
      <c r="L46" s="5"/>
      <c r="M46" s="5"/>
      <c r="N46" s="5"/>
      <c r="O46" s="2"/>
      <c r="P46" s="2"/>
      <c r="R46" s="13" t="s">
        <v>28</v>
      </c>
      <c r="S46" s="13" t="s">
        <v>17</v>
      </c>
      <c r="T46" s="14">
        <f t="shared" si="19"/>
        <v>100</v>
      </c>
      <c r="U46" s="14">
        <f t="shared" si="19"/>
        <v>100</v>
      </c>
      <c r="V46" s="14">
        <f t="shared" si="19"/>
        <v>100</v>
      </c>
      <c r="W46" s="14">
        <f t="shared" si="19"/>
        <v>100</v>
      </c>
      <c r="X46" s="14">
        <f t="shared" si="19"/>
        <v>100</v>
      </c>
      <c r="Y46" s="14">
        <f t="shared" si="20"/>
        <v>26.625</v>
      </c>
      <c r="Z46" s="14">
        <f t="shared" si="20"/>
        <v>26.477499999999999</v>
      </c>
      <c r="AA46" s="14">
        <f t="shared" si="20"/>
        <v>25.815000000000001</v>
      </c>
      <c r="AB46" s="14">
        <f t="shared" si="20"/>
        <v>26.987500000000001</v>
      </c>
      <c r="AC46" s="14">
        <f t="shared" si="20"/>
        <v>26.217500000000001</v>
      </c>
    </row>
    <row r="47" spans="1:33">
      <c r="A47" s="13" t="s">
        <v>27</v>
      </c>
      <c r="B47" s="13" t="s">
        <v>31</v>
      </c>
      <c r="C47" s="11">
        <v>74369.7</v>
      </c>
      <c r="D47" s="11">
        <v>74067.3</v>
      </c>
      <c r="E47" s="11">
        <v>74729.7</v>
      </c>
      <c r="F47" s="11">
        <v>73048.5</v>
      </c>
      <c r="G47" s="11">
        <v>74120.5</v>
      </c>
      <c r="H47" s="20"/>
      <c r="K47" s="2"/>
      <c r="L47" s="5"/>
      <c r="M47" s="5"/>
      <c r="N47" s="5"/>
      <c r="O47" s="2"/>
      <c r="P47" s="2"/>
      <c r="R47" s="13" t="s">
        <v>27</v>
      </c>
      <c r="S47" s="13" t="s">
        <v>23</v>
      </c>
      <c r="T47" s="14">
        <f t="shared" ref="T47:X52" si="21">T8/T$13*100</f>
        <v>103.41287180030207</v>
      </c>
      <c r="U47" s="14">
        <f t="shared" si="21"/>
        <v>104.0827940985701</v>
      </c>
      <c r="V47" s="14">
        <f t="shared" si="21"/>
        <v>103.49865216316991</v>
      </c>
      <c r="W47" s="14">
        <f t="shared" si="21"/>
        <v>103.24836614047153</v>
      </c>
      <c r="X47" s="14">
        <f t="shared" si="21"/>
        <v>103.32405500194844</v>
      </c>
      <c r="Y47" s="14">
        <f t="shared" si="20"/>
        <v>88.867500000000007</v>
      </c>
      <c r="Z47" s="14">
        <f t="shared" si="20"/>
        <v>88.132499999999993</v>
      </c>
      <c r="AA47" s="14">
        <f t="shared" si="20"/>
        <v>86.442499999999995</v>
      </c>
      <c r="AB47" s="14">
        <f t="shared" si="20"/>
        <v>87.922499999999999</v>
      </c>
      <c r="AC47" s="14">
        <f t="shared" si="20"/>
        <v>87.405000000000001</v>
      </c>
    </row>
    <row r="48" spans="1:33">
      <c r="A48" s="13" t="s">
        <v>27</v>
      </c>
      <c r="B48" s="13" t="s">
        <v>21</v>
      </c>
      <c r="C48" s="11">
        <v>72845.899999999994</v>
      </c>
      <c r="D48" s="11">
        <v>71960.2</v>
      </c>
      <c r="E48" s="11">
        <v>71863.8</v>
      </c>
      <c r="F48" s="11">
        <v>72623.7</v>
      </c>
      <c r="G48" s="11">
        <v>71941.3</v>
      </c>
      <c r="H48" s="20"/>
      <c r="K48" s="2"/>
      <c r="L48" s="5"/>
      <c r="M48" s="5"/>
      <c r="N48" s="5"/>
      <c r="O48" s="2"/>
      <c r="P48" s="2"/>
      <c r="R48" s="13" t="s">
        <v>27</v>
      </c>
      <c r="S48" s="13" t="s">
        <v>22</v>
      </c>
      <c r="T48" s="14">
        <f t="shared" si="21"/>
        <v>103.61880054171242</v>
      </c>
      <c r="U48" s="14">
        <f t="shared" si="21"/>
        <v>103.31449789443879</v>
      </c>
      <c r="V48" s="14">
        <f t="shared" si="21"/>
        <v>104.32257064800868</v>
      </c>
      <c r="W48" s="14">
        <f t="shared" si="21"/>
        <v>101.70514509118146</v>
      </c>
      <c r="X48" s="14">
        <f t="shared" si="21"/>
        <v>103.15718421199132</v>
      </c>
      <c r="Y48" s="14">
        <f t="shared" si="20"/>
        <v>49.37</v>
      </c>
      <c r="Z48" s="14">
        <f t="shared" si="20"/>
        <v>50.587499999999999</v>
      </c>
      <c r="AA48" s="14">
        <f t="shared" si="20"/>
        <v>48.9375</v>
      </c>
      <c r="AB48" s="14">
        <f t="shared" si="20"/>
        <v>50.78</v>
      </c>
      <c r="AC48" s="14">
        <f t="shared" si="20"/>
        <v>49.297499999999999</v>
      </c>
    </row>
    <row r="49" spans="1:29">
      <c r="A49" s="13" t="s">
        <v>27</v>
      </c>
      <c r="B49" s="13" t="s">
        <v>20</v>
      </c>
      <c r="C49" s="11">
        <v>73518.3</v>
      </c>
      <c r="D49" s="11">
        <v>73631.8</v>
      </c>
      <c r="E49" s="11">
        <v>73741.2</v>
      </c>
      <c r="F49" s="11">
        <v>73731.899999999994</v>
      </c>
      <c r="G49" s="11">
        <v>73943.3</v>
      </c>
      <c r="H49" s="20"/>
      <c r="K49" s="2"/>
      <c r="L49" s="5"/>
      <c r="M49" s="5"/>
      <c r="N49" s="5"/>
      <c r="O49" s="2"/>
      <c r="P49" s="2"/>
      <c r="R49" s="13" t="s">
        <v>27</v>
      </c>
      <c r="S49" s="13" t="s">
        <v>21</v>
      </c>
      <c r="T49" s="14">
        <f t="shared" si="21"/>
        <v>101.49570029705013</v>
      </c>
      <c r="U49" s="14">
        <f t="shared" si="21"/>
        <v>100.37536040038442</v>
      </c>
      <c r="V49" s="14">
        <f t="shared" si="21"/>
        <v>100.32177772069694</v>
      </c>
      <c r="W49" s="14">
        <f t="shared" si="21"/>
        <v>101.11369768795302</v>
      </c>
      <c r="X49" s="14">
        <f t="shared" si="21"/>
        <v>100.12428324890053</v>
      </c>
      <c r="Y49" s="14">
        <f t="shared" si="20"/>
        <v>36.097499999999997</v>
      </c>
      <c r="Z49" s="14">
        <f t="shared" si="20"/>
        <v>34.477499999999999</v>
      </c>
      <c r="AA49" s="14">
        <f t="shared" si="20"/>
        <v>35.25</v>
      </c>
      <c r="AB49" s="14">
        <f t="shared" si="20"/>
        <v>35.67</v>
      </c>
      <c r="AC49" s="14">
        <f t="shared" si="20"/>
        <v>34.424999999999997</v>
      </c>
    </row>
    <row r="50" spans="1:29">
      <c r="A50" s="13" t="s">
        <v>27</v>
      </c>
      <c r="B50" s="13" t="s">
        <v>19</v>
      </c>
      <c r="C50" s="11">
        <v>75687.7</v>
      </c>
      <c r="D50" s="11">
        <v>75067.399999999994</v>
      </c>
      <c r="E50" s="11">
        <v>75996.3</v>
      </c>
      <c r="F50" s="11">
        <v>75460.899999999994</v>
      </c>
      <c r="G50" s="11">
        <v>75483.600000000006</v>
      </c>
      <c r="H50" s="20"/>
      <c r="K50" s="2"/>
      <c r="L50" s="5"/>
      <c r="M50" s="5"/>
      <c r="N50" s="5"/>
      <c r="O50" s="2"/>
      <c r="P50" s="2"/>
      <c r="R50" s="13" t="s">
        <v>27</v>
      </c>
      <c r="S50" s="13" t="s">
        <v>20</v>
      </c>
      <c r="T50" s="14">
        <f t="shared" si="21"/>
        <v>102.43255067407529</v>
      </c>
      <c r="U50" s="14">
        <f t="shared" si="21"/>
        <v>102.70703057980697</v>
      </c>
      <c r="V50" s="14">
        <f t="shared" si="21"/>
        <v>102.94262584580076</v>
      </c>
      <c r="W50" s="14">
        <f t="shared" si="21"/>
        <v>102.65664027801368</v>
      </c>
      <c r="X50" s="14">
        <f t="shared" si="21"/>
        <v>102.91056616378111</v>
      </c>
      <c r="Y50" s="14">
        <f t="shared" si="20"/>
        <v>36.909999999999997</v>
      </c>
      <c r="Z50" s="14">
        <f t="shared" si="20"/>
        <v>37.08</v>
      </c>
      <c r="AA50" s="14">
        <f t="shared" si="20"/>
        <v>37.137500000000003</v>
      </c>
      <c r="AB50" s="14">
        <f t="shared" si="20"/>
        <v>37.06</v>
      </c>
      <c r="AC50" s="14">
        <f t="shared" si="20"/>
        <v>36.477499999999999</v>
      </c>
    </row>
    <row r="51" spans="1:29">
      <c r="A51" s="13" t="s">
        <v>27</v>
      </c>
      <c r="B51" s="13" t="s">
        <v>17</v>
      </c>
      <c r="C51" s="11">
        <v>71772.399999999994</v>
      </c>
      <c r="D51" s="11">
        <v>71691.100000000006</v>
      </c>
      <c r="E51" s="11">
        <v>71633.3</v>
      </c>
      <c r="F51" s="11">
        <v>71823.8</v>
      </c>
      <c r="G51" s="11">
        <v>71852</v>
      </c>
      <c r="H51" s="20"/>
      <c r="K51" s="2"/>
      <c r="L51" s="5"/>
      <c r="M51" s="5"/>
      <c r="N51" s="5"/>
      <c r="O51" s="2"/>
      <c r="P51" s="2"/>
      <c r="R51" s="13" t="s">
        <v>27</v>
      </c>
      <c r="S51" s="13" t="s">
        <v>19</v>
      </c>
      <c r="T51" s="14">
        <f t="shared" si="21"/>
        <v>105.4551610368331</v>
      </c>
      <c r="U51" s="14">
        <f t="shared" si="21"/>
        <v>104.70951066450367</v>
      </c>
      <c r="V51" s="14">
        <f t="shared" si="21"/>
        <v>106.09074271323533</v>
      </c>
      <c r="W51" s="14">
        <f t="shared" si="21"/>
        <v>105.0639203161069</v>
      </c>
      <c r="X51" s="14">
        <f t="shared" si="21"/>
        <v>105.05427823860158</v>
      </c>
      <c r="Y51" s="14">
        <f t="shared" ref="Y51:AC60" si="22">Y12/$B$35</f>
        <v>75.849999999999994</v>
      </c>
      <c r="Z51" s="14">
        <f t="shared" si="22"/>
        <v>72.157499999999999</v>
      </c>
      <c r="AA51" s="14">
        <f t="shared" si="22"/>
        <v>74.777500000000003</v>
      </c>
      <c r="AB51" s="14">
        <f t="shared" si="22"/>
        <v>70.277500000000003</v>
      </c>
      <c r="AC51" s="14">
        <f t="shared" si="22"/>
        <v>73.510000000000005</v>
      </c>
    </row>
    <row r="52" spans="1:29">
      <c r="A52" s="13" t="s">
        <v>26</v>
      </c>
      <c r="B52" s="13" t="s">
        <v>23</v>
      </c>
      <c r="C52" s="11">
        <v>59654.400000000001</v>
      </c>
      <c r="D52" s="11">
        <v>54742.1</v>
      </c>
      <c r="E52" s="11">
        <v>59577.7</v>
      </c>
      <c r="F52" s="11">
        <v>59474.5</v>
      </c>
      <c r="G52" s="11">
        <v>59437.5</v>
      </c>
      <c r="H52" s="20"/>
      <c r="K52" s="2"/>
      <c r="L52" s="5"/>
      <c r="M52" s="5"/>
      <c r="N52" s="5"/>
      <c r="O52" s="2"/>
      <c r="P52" s="2"/>
      <c r="R52" s="13" t="s">
        <v>27</v>
      </c>
      <c r="S52" s="13" t="s">
        <v>17</v>
      </c>
      <c r="T52" s="14">
        <f t="shared" si="21"/>
        <v>100</v>
      </c>
      <c r="U52" s="14">
        <f t="shared" si="21"/>
        <v>100</v>
      </c>
      <c r="V52" s="14">
        <f t="shared" si="21"/>
        <v>100</v>
      </c>
      <c r="W52" s="14">
        <f t="shared" si="21"/>
        <v>100</v>
      </c>
      <c r="X52" s="14">
        <f t="shared" si="21"/>
        <v>100</v>
      </c>
      <c r="Y52" s="14">
        <f t="shared" si="22"/>
        <v>20.502500000000001</v>
      </c>
      <c r="Z52" s="14">
        <f t="shared" si="22"/>
        <v>19.797499999999999</v>
      </c>
      <c r="AA52" s="14">
        <f t="shared" si="22"/>
        <v>20.445</v>
      </c>
      <c r="AB52" s="14">
        <f t="shared" si="22"/>
        <v>20.995000000000001</v>
      </c>
      <c r="AC52" s="14">
        <f t="shared" si="22"/>
        <v>20.734999999999999</v>
      </c>
    </row>
    <row r="53" spans="1:29">
      <c r="A53" s="13" t="s">
        <v>26</v>
      </c>
      <c r="B53" s="13" t="s">
        <v>31</v>
      </c>
      <c r="C53" s="11">
        <v>54438.400000000001</v>
      </c>
      <c r="D53" s="11">
        <v>59186.3</v>
      </c>
      <c r="E53" s="11">
        <v>59252.5</v>
      </c>
      <c r="F53" s="11">
        <v>54819.3</v>
      </c>
      <c r="G53" s="11">
        <v>59229.2</v>
      </c>
      <c r="H53" s="20"/>
      <c r="K53" s="2"/>
      <c r="L53" s="5"/>
      <c r="M53" s="5"/>
      <c r="N53" s="5"/>
      <c r="O53" s="2"/>
      <c r="P53" s="2"/>
      <c r="R53" s="13" t="s">
        <v>26</v>
      </c>
      <c r="S53" s="13" t="s">
        <v>23</v>
      </c>
      <c r="T53" s="14">
        <f t="shared" ref="T53:X58" si="23">T14/T$19*100</f>
        <v>103.91702580575482</v>
      </c>
      <c r="U53" s="14">
        <f t="shared" si="23"/>
        <v>95.541620270661781</v>
      </c>
      <c r="V53" s="14">
        <f t="shared" si="23"/>
        <v>103.85686792689646</v>
      </c>
      <c r="W53" s="14">
        <f t="shared" si="23"/>
        <v>104.46200080443882</v>
      </c>
      <c r="X53" s="14">
        <f t="shared" si="23"/>
        <v>103.93442622950819</v>
      </c>
      <c r="Y53" s="14">
        <f t="shared" si="22"/>
        <v>89.09</v>
      </c>
      <c r="Z53" s="14">
        <f t="shared" si="22"/>
        <v>87.03</v>
      </c>
      <c r="AA53" s="14">
        <f t="shared" si="22"/>
        <v>90.48</v>
      </c>
      <c r="AB53" s="14">
        <f t="shared" si="22"/>
        <v>91.322500000000005</v>
      </c>
      <c r="AC53" s="14">
        <f t="shared" si="22"/>
        <v>90.915000000000006</v>
      </c>
    </row>
    <row r="54" spans="1:29">
      <c r="A54" s="13" t="s">
        <v>26</v>
      </c>
      <c r="B54" s="13" t="s">
        <v>21</v>
      </c>
      <c r="C54" s="11">
        <v>58013.4</v>
      </c>
      <c r="D54" s="11">
        <v>56705.8</v>
      </c>
      <c r="E54" s="11">
        <v>58762.1</v>
      </c>
      <c r="F54" s="11">
        <v>57116.4</v>
      </c>
      <c r="G54" s="11">
        <v>58269.8</v>
      </c>
      <c r="H54" s="20"/>
      <c r="K54" s="2"/>
      <c r="L54" s="5"/>
      <c r="M54" s="5"/>
      <c r="N54" s="5"/>
      <c r="O54" s="2"/>
      <c r="P54" s="2"/>
      <c r="R54" s="13" t="s">
        <v>26</v>
      </c>
      <c r="S54" s="13" t="s">
        <v>22</v>
      </c>
      <c r="T54" s="14">
        <f t="shared" si="23"/>
        <v>94.830835908566726</v>
      </c>
      <c r="U54" s="14">
        <f t="shared" si="23"/>
        <v>103.29810145802718</v>
      </c>
      <c r="V54" s="14">
        <f t="shared" si="23"/>
        <v>103.2899737122855</v>
      </c>
      <c r="W54" s="14">
        <f t="shared" si="23"/>
        <v>96.285530112884913</v>
      </c>
      <c r="X54" s="14">
        <f t="shared" si="23"/>
        <v>103.57018579234972</v>
      </c>
      <c r="Y54" s="14">
        <f t="shared" si="22"/>
        <v>47.297499999999999</v>
      </c>
      <c r="Z54" s="14">
        <f t="shared" si="22"/>
        <v>45.854999999999997</v>
      </c>
      <c r="AA54" s="14">
        <f t="shared" si="22"/>
        <v>47.015000000000001</v>
      </c>
      <c r="AB54" s="14">
        <f t="shared" si="22"/>
        <v>47.055</v>
      </c>
      <c r="AC54" s="14">
        <f t="shared" si="22"/>
        <v>46.462499999999999</v>
      </c>
    </row>
    <row r="55" spans="1:29">
      <c r="A55" s="13" t="s">
        <v>26</v>
      </c>
      <c r="B55" s="13" t="s">
        <v>20</v>
      </c>
      <c r="C55" s="11">
        <v>58832.1</v>
      </c>
      <c r="D55" s="11">
        <v>58716.3</v>
      </c>
      <c r="E55" s="11">
        <v>58689.599999999999</v>
      </c>
      <c r="F55" s="11">
        <v>58496.4</v>
      </c>
      <c r="G55" s="11">
        <v>58749.7</v>
      </c>
      <c r="H55" s="20"/>
      <c r="K55" s="2"/>
      <c r="L55" s="5"/>
      <c r="M55" s="5"/>
      <c r="N55" s="5"/>
      <c r="O55" s="2"/>
      <c r="P55" s="2"/>
      <c r="R55" s="13" t="s">
        <v>26</v>
      </c>
      <c r="S55" s="13" t="s">
        <v>21</v>
      </c>
      <c r="T55" s="14">
        <f t="shared" si="23"/>
        <v>101.0584296360298</v>
      </c>
      <c r="U55" s="14">
        <f t="shared" si="23"/>
        <v>98.96887424384694</v>
      </c>
      <c r="V55" s="14">
        <f t="shared" si="23"/>
        <v>102.43510002579961</v>
      </c>
      <c r="W55" s="14">
        <f t="shared" si="23"/>
        <v>100.32019475147584</v>
      </c>
      <c r="X55" s="14">
        <f t="shared" si="23"/>
        <v>101.89254644808743</v>
      </c>
      <c r="Y55" s="14">
        <f t="shared" si="22"/>
        <v>31.12</v>
      </c>
      <c r="Z55" s="14">
        <f t="shared" si="22"/>
        <v>30.9725</v>
      </c>
      <c r="AA55" s="14">
        <f t="shared" si="22"/>
        <v>32.29</v>
      </c>
      <c r="AB55" s="14">
        <f t="shared" si="22"/>
        <v>32.159999999999997</v>
      </c>
      <c r="AC55" s="14">
        <f t="shared" si="22"/>
        <v>32.2575</v>
      </c>
    </row>
    <row r="56" spans="1:29">
      <c r="A56" s="13" t="s">
        <v>26</v>
      </c>
      <c r="B56" s="13" t="s">
        <v>19</v>
      </c>
      <c r="C56" s="11">
        <v>60629.3</v>
      </c>
      <c r="D56" s="11">
        <v>60542.3</v>
      </c>
      <c r="E56" s="11">
        <v>60675.9</v>
      </c>
      <c r="F56" s="11">
        <v>60396.1</v>
      </c>
      <c r="G56" s="11">
        <v>60102.1</v>
      </c>
      <c r="H56" s="20"/>
      <c r="K56" s="2"/>
      <c r="L56" s="5"/>
      <c r="M56" s="5"/>
      <c r="N56" s="5"/>
      <c r="O56" s="2"/>
      <c r="P56" s="2"/>
      <c r="R56" s="13" t="s">
        <v>26</v>
      </c>
      <c r="S56" s="13" t="s">
        <v>20</v>
      </c>
      <c r="T56" s="14">
        <f t="shared" si="23"/>
        <v>102.48459214922534</v>
      </c>
      <c r="U56" s="14">
        <f t="shared" si="23"/>
        <v>102.4778084563482</v>
      </c>
      <c r="V56" s="14">
        <f t="shared" si="23"/>
        <v>102.30871678299735</v>
      </c>
      <c r="W56" s="14">
        <f t="shared" si="23"/>
        <v>102.74404969956494</v>
      </c>
      <c r="X56" s="14">
        <f t="shared" si="23"/>
        <v>102.73171584699452</v>
      </c>
      <c r="Y56" s="14">
        <f t="shared" si="22"/>
        <v>33.527500000000003</v>
      </c>
      <c r="Z56" s="14">
        <f t="shared" si="22"/>
        <v>35.032499999999999</v>
      </c>
      <c r="AA56" s="14">
        <f t="shared" si="22"/>
        <v>33.682499999999997</v>
      </c>
      <c r="AB56" s="14">
        <f t="shared" si="22"/>
        <v>35.362499999999997</v>
      </c>
      <c r="AC56" s="14">
        <f t="shared" si="22"/>
        <v>35.232500000000002</v>
      </c>
    </row>
    <row r="57" spans="1:29">
      <c r="A57" s="13" t="s">
        <v>26</v>
      </c>
      <c r="B57" s="13" t="s">
        <v>17</v>
      </c>
      <c r="C57" s="11">
        <v>57405.8</v>
      </c>
      <c r="D57" s="11">
        <v>57296.6</v>
      </c>
      <c r="E57" s="11">
        <v>57365.2</v>
      </c>
      <c r="F57" s="11">
        <v>56934.1</v>
      </c>
      <c r="G57" s="11">
        <v>57187.5</v>
      </c>
      <c r="H57" s="20"/>
      <c r="K57" s="2"/>
      <c r="L57" s="5"/>
      <c r="M57" s="5"/>
      <c r="N57" s="5"/>
      <c r="O57" s="2"/>
      <c r="P57" s="2"/>
      <c r="R57" s="13" t="s">
        <v>26</v>
      </c>
      <c r="S57" s="13" t="s">
        <v>19</v>
      </c>
      <c r="T57" s="14">
        <f t="shared" si="23"/>
        <v>105.61528626027335</v>
      </c>
      <c r="U57" s="14">
        <f t="shared" si="23"/>
        <v>105.66473403308399</v>
      </c>
      <c r="V57" s="14">
        <f t="shared" si="23"/>
        <v>105.77126899235077</v>
      </c>
      <c r="W57" s="14">
        <f t="shared" si="23"/>
        <v>106.08071436977139</v>
      </c>
      <c r="X57" s="14">
        <f t="shared" si="23"/>
        <v>105.09656830601092</v>
      </c>
      <c r="Y57" s="14">
        <f t="shared" si="22"/>
        <v>79.555000000000007</v>
      </c>
      <c r="Z57" s="14">
        <f t="shared" si="22"/>
        <v>78.894999999999996</v>
      </c>
      <c r="AA57" s="14">
        <f t="shared" si="22"/>
        <v>76.73</v>
      </c>
      <c r="AB57" s="14">
        <f t="shared" si="22"/>
        <v>81.275000000000006</v>
      </c>
      <c r="AC57" s="14">
        <f t="shared" si="22"/>
        <v>77.66</v>
      </c>
    </row>
    <row r="58" spans="1:29">
      <c r="A58" s="13" t="s">
        <v>25</v>
      </c>
      <c r="B58" s="13" t="s">
        <v>23</v>
      </c>
      <c r="C58" s="11">
        <v>176334</v>
      </c>
      <c r="D58" s="11">
        <v>177607</v>
      </c>
      <c r="E58" s="11">
        <v>175810</v>
      </c>
      <c r="F58" s="11">
        <v>177611</v>
      </c>
      <c r="G58" s="11">
        <v>175518</v>
      </c>
      <c r="H58" s="20"/>
      <c r="K58" s="2"/>
      <c r="L58" s="5"/>
      <c r="M58" s="5"/>
      <c r="N58" s="5"/>
      <c r="O58" s="2"/>
      <c r="P58" s="2"/>
      <c r="R58" s="13" t="s">
        <v>26</v>
      </c>
      <c r="S58" s="13" t="s">
        <v>17</v>
      </c>
      <c r="T58" s="14">
        <f t="shared" si="23"/>
        <v>100</v>
      </c>
      <c r="U58" s="14">
        <f t="shared" si="23"/>
        <v>100</v>
      </c>
      <c r="V58" s="14">
        <f t="shared" si="23"/>
        <v>100</v>
      </c>
      <c r="W58" s="14">
        <f t="shared" si="23"/>
        <v>100</v>
      </c>
      <c r="X58" s="14">
        <f t="shared" si="23"/>
        <v>100</v>
      </c>
      <c r="Y58" s="14">
        <f t="shared" si="22"/>
        <v>16.787500000000001</v>
      </c>
      <c r="Z58" s="14">
        <f t="shared" si="22"/>
        <v>17.112500000000001</v>
      </c>
      <c r="AA58" s="14">
        <f t="shared" si="22"/>
        <v>17.25</v>
      </c>
      <c r="AB58" s="14">
        <f t="shared" si="22"/>
        <v>17.782499999999999</v>
      </c>
      <c r="AC58" s="14">
        <f t="shared" si="22"/>
        <v>17.094999999999999</v>
      </c>
    </row>
    <row r="59" spans="1:29">
      <c r="A59" s="13" t="s">
        <v>25</v>
      </c>
      <c r="B59" s="13" t="s">
        <v>31</v>
      </c>
      <c r="C59" s="11">
        <v>177956</v>
      </c>
      <c r="D59" s="11">
        <v>178858</v>
      </c>
      <c r="E59" s="11">
        <v>180087</v>
      </c>
      <c r="F59" s="11">
        <v>180974</v>
      </c>
      <c r="G59" s="11">
        <v>179498</v>
      </c>
      <c r="H59" s="20"/>
      <c r="K59" s="2"/>
      <c r="L59" s="5"/>
      <c r="M59" s="5"/>
      <c r="N59" s="5"/>
      <c r="O59" s="2"/>
      <c r="P59" s="2"/>
      <c r="R59" s="13" t="s">
        <v>25</v>
      </c>
      <c r="S59" s="13" t="s">
        <v>23</v>
      </c>
      <c r="T59" s="14">
        <f t="shared" ref="T59:X64" si="24">T20/T$25*100</f>
        <v>100.98560817350368</v>
      </c>
      <c r="U59" s="14">
        <f t="shared" si="24"/>
        <v>101.78751547384348</v>
      </c>
      <c r="V59" s="14">
        <f t="shared" si="24"/>
        <v>101.1471901320937</v>
      </c>
      <c r="W59" s="14">
        <f t="shared" si="24"/>
        <v>102.00493912244428</v>
      </c>
      <c r="X59" s="14">
        <f t="shared" si="24"/>
        <v>101.53589837038579</v>
      </c>
      <c r="Y59" s="14">
        <f t="shared" si="22"/>
        <v>88.052499999999995</v>
      </c>
      <c r="Z59" s="14">
        <f t="shared" si="22"/>
        <v>88.757499999999993</v>
      </c>
      <c r="AA59" s="14">
        <f t="shared" si="22"/>
        <v>84.685000000000002</v>
      </c>
      <c r="AB59" s="14">
        <f t="shared" si="22"/>
        <v>90.147499999999994</v>
      </c>
      <c r="AC59" s="14">
        <f t="shared" si="22"/>
        <v>85.13</v>
      </c>
    </row>
    <row r="60" spans="1:29">
      <c r="A60" s="13" t="s">
        <v>25</v>
      </c>
      <c r="B60" s="13" t="s">
        <v>21</v>
      </c>
      <c r="C60" s="11">
        <v>178308</v>
      </c>
      <c r="D60" s="11">
        <v>172605</v>
      </c>
      <c r="E60" s="11">
        <v>174473</v>
      </c>
      <c r="F60" s="11">
        <v>176867</v>
      </c>
      <c r="G60" s="11">
        <v>177455</v>
      </c>
      <c r="H60" s="20"/>
      <c r="K60" s="2"/>
      <c r="L60" s="5"/>
      <c r="M60" s="5"/>
      <c r="N60" s="5"/>
      <c r="O60" s="2"/>
      <c r="P60" s="2"/>
      <c r="R60" s="13" t="s">
        <v>25</v>
      </c>
      <c r="S60" s="13" t="s">
        <v>22</v>
      </c>
      <c r="T60" s="14">
        <f t="shared" si="24"/>
        <v>101.91451953749149</v>
      </c>
      <c r="U60" s="14">
        <f t="shared" si="24"/>
        <v>102.50447022144789</v>
      </c>
      <c r="V60" s="14">
        <f t="shared" si="24"/>
        <v>103.60783817370091</v>
      </c>
      <c r="W60" s="14">
        <f t="shared" si="24"/>
        <v>103.93636572478751</v>
      </c>
      <c r="X60" s="14">
        <f t="shared" si="24"/>
        <v>103.83829969397731</v>
      </c>
      <c r="Y60" s="14">
        <f t="shared" si="22"/>
        <v>54.727499999999999</v>
      </c>
      <c r="Z60" s="14">
        <f t="shared" si="22"/>
        <v>56.924999999999997</v>
      </c>
      <c r="AA60" s="14">
        <f t="shared" si="22"/>
        <v>55.667499999999997</v>
      </c>
      <c r="AB60" s="14">
        <f t="shared" si="22"/>
        <v>56.484999999999999</v>
      </c>
      <c r="AC60" s="14">
        <f t="shared" si="22"/>
        <v>55.332500000000003</v>
      </c>
    </row>
    <row r="61" spans="1:29">
      <c r="A61" s="13" t="s">
        <v>25</v>
      </c>
      <c r="B61" s="13" t="s">
        <v>20</v>
      </c>
      <c r="C61" s="11">
        <v>179157</v>
      </c>
      <c r="D61" s="11">
        <v>179567</v>
      </c>
      <c r="E61" s="11">
        <v>179499</v>
      </c>
      <c r="F61" s="11">
        <v>178066</v>
      </c>
      <c r="G61" s="11">
        <v>179083</v>
      </c>
      <c r="H61" s="20"/>
      <c r="K61" s="2"/>
      <c r="L61" s="5"/>
      <c r="M61" s="5"/>
      <c r="N61" s="5"/>
      <c r="O61" s="2"/>
      <c r="P61" s="2"/>
      <c r="R61" s="13" t="s">
        <v>25</v>
      </c>
      <c r="S61" s="13" t="s">
        <v>21</v>
      </c>
      <c r="T61" s="14">
        <f t="shared" si="24"/>
        <v>102.11610819354802</v>
      </c>
      <c r="U61" s="14">
        <f t="shared" si="24"/>
        <v>98.920842694053462</v>
      </c>
      <c r="V61" s="14">
        <f t="shared" si="24"/>
        <v>100.3779859161412</v>
      </c>
      <c r="W61" s="14">
        <f t="shared" si="24"/>
        <v>101.57764759935677</v>
      </c>
      <c r="X61" s="14">
        <f t="shared" si="24"/>
        <v>102.65643891405331</v>
      </c>
      <c r="Y61" s="14">
        <f t="shared" ref="Y61:AC70" si="25">Y22/$B$35</f>
        <v>44.814999999999998</v>
      </c>
      <c r="Z61" s="14">
        <f t="shared" si="25"/>
        <v>45.647500000000001</v>
      </c>
      <c r="AA61" s="14">
        <f t="shared" si="25"/>
        <v>42.924999999999997</v>
      </c>
      <c r="AB61" s="14">
        <f t="shared" si="25"/>
        <v>43.537500000000001</v>
      </c>
      <c r="AC61" s="14">
        <f t="shared" si="25"/>
        <v>45.097499999999997</v>
      </c>
    </row>
    <row r="62" spans="1:29">
      <c r="A62" s="13" t="s">
        <v>25</v>
      </c>
      <c r="B62" s="13" t="s">
        <v>19</v>
      </c>
      <c r="C62" s="11">
        <v>182490</v>
      </c>
      <c r="D62" s="11">
        <v>183976</v>
      </c>
      <c r="E62" s="11">
        <v>182799</v>
      </c>
      <c r="F62" s="11">
        <v>183096</v>
      </c>
      <c r="G62" s="11">
        <v>181658</v>
      </c>
      <c r="H62" s="20"/>
      <c r="K62" s="2"/>
      <c r="L62" s="5"/>
      <c r="M62" s="5"/>
      <c r="N62" s="5"/>
      <c r="O62" s="2"/>
      <c r="P62" s="2"/>
      <c r="R62" s="13" t="s">
        <v>25</v>
      </c>
      <c r="S62" s="13" t="s">
        <v>20</v>
      </c>
      <c r="T62" s="14">
        <f t="shared" si="24"/>
        <v>102.60232628727528</v>
      </c>
      <c r="U62" s="14">
        <f t="shared" si="24"/>
        <v>102.91080188895512</v>
      </c>
      <c r="V62" s="14">
        <f t="shared" si="24"/>
        <v>103.26954940856999</v>
      </c>
      <c r="W62" s="14">
        <f t="shared" si="24"/>
        <v>102.26625315874109</v>
      </c>
      <c r="X62" s="14">
        <f t="shared" si="24"/>
        <v>103.59822518410533</v>
      </c>
      <c r="Y62" s="14">
        <f t="shared" si="25"/>
        <v>45.777500000000003</v>
      </c>
      <c r="Z62" s="14">
        <f t="shared" si="25"/>
        <v>45.84</v>
      </c>
      <c r="AA62" s="14">
        <f t="shared" si="25"/>
        <v>47.942500000000003</v>
      </c>
      <c r="AB62" s="14">
        <f t="shared" si="25"/>
        <v>47.33</v>
      </c>
      <c r="AC62" s="14">
        <f t="shared" si="25"/>
        <v>46.462499999999999</v>
      </c>
    </row>
    <row r="63" spans="1:29">
      <c r="A63" s="13" t="s">
        <v>25</v>
      </c>
      <c r="B63" s="13" t="s">
        <v>17</v>
      </c>
      <c r="C63" s="11">
        <v>174613</v>
      </c>
      <c r="D63" s="11">
        <v>174488</v>
      </c>
      <c r="E63" s="11">
        <v>173816</v>
      </c>
      <c r="F63" s="11">
        <v>174120</v>
      </c>
      <c r="G63" s="11">
        <v>172863</v>
      </c>
      <c r="H63" s="20"/>
      <c r="K63" s="2"/>
      <c r="L63" s="5"/>
      <c r="M63" s="5"/>
      <c r="N63" s="5"/>
      <c r="O63" s="2"/>
      <c r="P63" s="2"/>
      <c r="R63" s="13" t="s">
        <v>25</v>
      </c>
      <c r="S63" s="13" t="s">
        <v>19</v>
      </c>
      <c r="T63" s="14">
        <f t="shared" si="24"/>
        <v>104.51111887431061</v>
      </c>
      <c r="U63" s="14">
        <f t="shared" si="24"/>
        <v>105.43762321764247</v>
      </c>
      <c r="V63" s="14">
        <f t="shared" si="24"/>
        <v>105.16810880471303</v>
      </c>
      <c r="W63" s="14">
        <f t="shared" si="24"/>
        <v>105.15506547208821</v>
      </c>
      <c r="X63" s="14">
        <f t="shared" si="24"/>
        <v>105.08784413090136</v>
      </c>
      <c r="Y63" s="14">
        <f t="shared" si="25"/>
        <v>76.314999999999998</v>
      </c>
      <c r="Z63" s="14">
        <f t="shared" si="25"/>
        <v>77.582499999999996</v>
      </c>
      <c r="AA63" s="14">
        <f t="shared" si="25"/>
        <v>77.465000000000003</v>
      </c>
      <c r="AB63" s="14">
        <f t="shared" si="25"/>
        <v>77.61</v>
      </c>
      <c r="AC63" s="14">
        <f t="shared" si="25"/>
        <v>72.317499999999995</v>
      </c>
    </row>
    <row r="64" spans="1:29">
      <c r="A64" s="13" t="s">
        <v>24</v>
      </c>
      <c r="B64" s="13" t="s">
        <v>23</v>
      </c>
      <c r="C64" s="11">
        <v>6887.77</v>
      </c>
      <c r="D64" s="11">
        <v>6952.02</v>
      </c>
      <c r="E64" s="11">
        <v>6900.82</v>
      </c>
      <c r="F64" s="11">
        <v>6948.49</v>
      </c>
      <c r="G64" s="11">
        <v>6974.68</v>
      </c>
      <c r="H64" s="20"/>
      <c r="K64" s="2"/>
      <c r="L64" s="5"/>
      <c r="M64" s="5"/>
      <c r="N64" s="5"/>
      <c r="O64" s="2"/>
      <c r="P64" s="2"/>
      <c r="R64" s="13" t="s">
        <v>25</v>
      </c>
      <c r="S64" s="13" t="s">
        <v>17</v>
      </c>
      <c r="T64" s="14">
        <f t="shared" si="24"/>
        <v>100</v>
      </c>
      <c r="U64" s="14">
        <f t="shared" si="24"/>
        <v>100</v>
      </c>
      <c r="V64" s="14">
        <f t="shared" si="24"/>
        <v>100</v>
      </c>
      <c r="W64" s="14">
        <f t="shared" si="24"/>
        <v>100</v>
      </c>
      <c r="X64" s="14">
        <f t="shared" si="24"/>
        <v>100</v>
      </c>
      <c r="Y64" s="14">
        <f t="shared" si="25"/>
        <v>30.787500000000001</v>
      </c>
      <c r="Z64" s="14">
        <f t="shared" si="25"/>
        <v>31.5425</v>
      </c>
      <c r="AA64" s="14">
        <f t="shared" si="25"/>
        <v>31.72</v>
      </c>
      <c r="AB64" s="14">
        <f t="shared" si="25"/>
        <v>31.2075</v>
      </c>
      <c r="AC64" s="14">
        <f t="shared" si="25"/>
        <v>32.622500000000002</v>
      </c>
    </row>
    <row r="65" spans="1:30">
      <c r="A65" s="13" t="s">
        <v>24</v>
      </c>
      <c r="B65" s="13" t="s">
        <v>31</v>
      </c>
      <c r="C65" s="11">
        <v>6954.35</v>
      </c>
      <c r="D65" s="11">
        <v>6946.2</v>
      </c>
      <c r="E65" s="11">
        <v>6937.07</v>
      </c>
      <c r="F65" s="11">
        <v>6998.52</v>
      </c>
      <c r="G65" s="11">
        <v>7054.52</v>
      </c>
      <c r="H65" s="20"/>
      <c r="K65" s="2"/>
      <c r="L65" s="5"/>
      <c r="M65" s="5"/>
      <c r="N65" s="5"/>
      <c r="O65" s="2"/>
      <c r="P65" s="2"/>
      <c r="R65" s="13" t="s">
        <v>24</v>
      </c>
      <c r="S65" s="13" t="s">
        <v>23</v>
      </c>
      <c r="T65" s="14">
        <f t="shared" ref="T65:X70" si="26">T26/T$31*100</f>
        <v>100.21081637878859</v>
      </c>
      <c r="U65" s="14">
        <f t="shared" si="26"/>
        <v>101.53781440191159</v>
      </c>
      <c r="V65" s="14">
        <f t="shared" si="26"/>
        <v>100.48737868318929</v>
      </c>
      <c r="W65" s="14">
        <f t="shared" si="26"/>
        <v>102.96545684365262</v>
      </c>
      <c r="X65" s="14">
        <f t="shared" si="26"/>
        <v>101.59160195822245</v>
      </c>
      <c r="Y65" s="14">
        <f t="shared" si="25"/>
        <v>89.41</v>
      </c>
      <c r="Z65" s="14">
        <f t="shared" si="25"/>
        <v>87.364999999999995</v>
      </c>
      <c r="AA65" s="14">
        <f t="shared" si="25"/>
        <v>86.85</v>
      </c>
      <c r="AB65" s="14">
        <f t="shared" si="25"/>
        <v>88.36</v>
      </c>
      <c r="AC65" s="14">
        <f t="shared" si="25"/>
        <v>85.834999999999994</v>
      </c>
    </row>
    <row r="66" spans="1:30">
      <c r="A66" s="13" t="s">
        <v>24</v>
      </c>
      <c r="B66" s="13" t="s">
        <v>21</v>
      </c>
      <c r="C66" s="11">
        <v>6797.22</v>
      </c>
      <c r="D66" s="11">
        <v>6649.32</v>
      </c>
      <c r="E66" s="11">
        <v>6710.58</v>
      </c>
      <c r="F66" s="11">
        <v>6731.33</v>
      </c>
      <c r="G66" s="11">
        <v>6427.88</v>
      </c>
      <c r="H66" s="20"/>
      <c r="K66" s="2"/>
      <c r="L66" s="5"/>
      <c r="M66" s="5"/>
      <c r="N66" s="5"/>
      <c r="O66" s="2"/>
      <c r="P66" s="2"/>
      <c r="R66" s="13" t="s">
        <v>24</v>
      </c>
      <c r="S66" s="13" t="s">
        <v>22</v>
      </c>
      <c r="T66" s="14">
        <f t="shared" si="26"/>
        <v>101.17949508822572</v>
      </c>
      <c r="U66" s="14">
        <f t="shared" si="26"/>
        <v>101.45281031967086</v>
      </c>
      <c r="V66" s="14">
        <f t="shared" si="26"/>
        <v>101.01523877478212</v>
      </c>
      <c r="W66" s="14">
        <f t="shared" si="26"/>
        <v>103.70682105456576</v>
      </c>
      <c r="X66" s="14">
        <f t="shared" si="26"/>
        <v>102.75453323253821</v>
      </c>
      <c r="Y66" s="14">
        <f t="shared" si="25"/>
        <v>53.477499999999999</v>
      </c>
      <c r="Z66" s="14">
        <f t="shared" si="25"/>
        <v>53.18</v>
      </c>
      <c r="AA66" s="14">
        <f t="shared" si="25"/>
        <v>52.862499999999997</v>
      </c>
      <c r="AB66" s="14">
        <f t="shared" si="25"/>
        <v>53.047499999999999</v>
      </c>
      <c r="AC66" s="14">
        <f t="shared" si="25"/>
        <v>56.96</v>
      </c>
    </row>
    <row r="67" spans="1:30">
      <c r="A67" s="13" t="s">
        <v>24</v>
      </c>
      <c r="B67" s="13" t="s">
        <v>20</v>
      </c>
      <c r="C67" s="11">
        <v>7014.72</v>
      </c>
      <c r="D67" s="11">
        <v>6985.72</v>
      </c>
      <c r="E67" s="11">
        <v>6999.25</v>
      </c>
      <c r="F67" s="11">
        <v>7102.94</v>
      </c>
      <c r="G67" s="11">
        <v>7001.57</v>
      </c>
      <c r="H67" s="20"/>
      <c r="K67" s="2"/>
      <c r="L67" s="5"/>
      <c r="M67" s="5"/>
      <c r="N67" s="5"/>
      <c r="O67" s="2"/>
      <c r="P67" s="2"/>
      <c r="R67" s="13" t="s">
        <v>24</v>
      </c>
      <c r="S67" s="13" t="s">
        <v>21</v>
      </c>
      <c r="T67" s="14">
        <f t="shared" si="26"/>
        <v>98.893395875040753</v>
      </c>
      <c r="U67" s="14">
        <f t="shared" si="26"/>
        <v>97.116725794649412</v>
      </c>
      <c r="V67" s="14">
        <f t="shared" si="26"/>
        <v>97.71716892251014</v>
      </c>
      <c r="W67" s="14">
        <f t="shared" si="26"/>
        <v>99.747494580172685</v>
      </c>
      <c r="X67" s="14">
        <f t="shared" si="26"/>
        <v>93.627037569496935</v>
      </c>
      <c r="Y67" s="14">
        <f t="shared" si="25"/>
        <v>34.737499999999997</v>
      </c>
      <c r="Z67" s="14">
        <f t="shared" si="25"/>
        <v>34.142499999999998</v>
      </c>
      <c r="AA67" s="14">
        <f t="shared" si="25"/>
        <v>33.947499999999998</v>
      </c>
      <c r="AB67" s="14">
        <f t="shared" si="25"/>
        <v>32.467500000000001</v>
      </c>
      <c r="AC67" s="14">
        <f t="shared" si="25"/>
        <v>33.432499999999997</v>
      </c>
    </row>
    <row r="68" spans="1:30">
      <c r="A68" s="13" t="s">
        <v>24</v>
      </c>
      <c r="B68" s="13" t="s">
        <v>19</v>
      </c>
      <c r="C68" s="11">
        <v>7073.04</v>
      </c>
      <c r="D68" s="11">
        <v>7025.16</v>
      </c>
      <c r="E68" s="11">
        <v>7059.04</v>
      </c>
      <c r="F68" s="11">
        <v>7053.16</v>
      </c>
      <c r="G68" s="11">
        <v>7071.47</v>
      </c>
      <c r="H68" s="20"/>
      <c r="K68" s="2"/>
      <c r="L68" s="5"/>
      <c r="M68" s="5"/>
      <c r="N68" s="5"/>
      <c r="O68" s="2"/>
      <c r="P68" s="2"/>
      <c r="R68" s="13" t="s">
        <v>24</v>
      </c>
      <c r="S68" s="13" t="s">
        <v>20</v>
      </c>
      <c r="T68" s="14">
        <f t="shared" si="26"/>
        <v>102.05782392103917</v>
      </c>
      <c r="U68" s="14">
        <f t="shared" si="26"/>
        <v>102.03002017021265</v>
      </c>
      <c r="V68" s="14">
        <f t="shared" si="26"/>
        <v>101.92068265051293</v>
      </c>
      <c r="W68" s="14">
        <f t="shared" si="26"/>
        <v>105.25415767066713</v>
      </c>
      <c r="X68" s="14">
        <f t="shared" si="26"/>
        <v>101.98327558004547</v>
      </c>
      <c r="Y68" s="14">
        <f t="shared" si="25"/>
        <v>42.5</v>
      </c>
      <c r="Z68" s="14">
        <f t="shared" si="25"/>
        <v>45.984999999999999</v>
      </c>
      <c r="AA68" s="14">
        <f t="shared" si="25"/>
        <v>43.825000000000003</v>
      </c>
      <c r="AB68" s="14">
        <f t="shared" si="25"/>
        <v>43.865000000000002</v>
      </c>
      <c r="AC68" s="14">
        <f t="shared" si="25"/>
        <v>43.667499999999997</v>
      </c>
    </row>
    <row r="69" spans="1:30">
      <c r="A69" s="13" t="s">
        <v>24</v>
      </c>
      <c r="B69" s="13" t="s">
        <v>17</v>
      </c>
      <c r="C69" s="11">
        <v>6873.28</v>
      </c>
      <c r="D69" s="11">
        <v>6846.73</v>
      </c>
      <c r="E69" s="11">
        <v>6867.35</v>
      </c>
      <c r="F69" s="11">
        <v>6748.37</v>
      </c>
      <c r="G69" s="11">
        <v>6865.41</v>
      </c>
      <c r="H69" s="20"/>
      <c r="K69" s="2"/>
      <c r="L69" s="5"/>
      <c r="M69" s="5"/>
      <c r="N69" s="5"/>
      <c r="O69" s="2"/>
      <c r="P69" s="2"/>
      <c r="R69" s="13" t="s">
        <v>24</v>
      </c>
      <c r="S69" s="13" t="s">
        <v>19</v>
      </c>
      <c r="T69" s="14">
        <f t="shared" si="26"/>
        <v>102.90632711020066</v>
      </c>
      <c r="U69" s="14">
        <f t="shared" si="26"/>
        <v>102.60606157976144</v>
      </c>
      <c r="V69" s="14">
        <f t="shared" si="26"/>
        <v>102.79132416434287</v>
      </c>
      <c r="W69" s="14">
        <f t="shared" si="26"/>
        <v>104.51649805804956</v>
      </c>
      <c r="X69" s="14">
        <f t="shared" si="26"/>
        <v>103.00142307597071</v>
      </c>
      <c r="Y69" s="14">
        <f t="shared" si="25"/>
        <v>85.415000000000006</v>
      </c>
      <c r="Z69" s="14">
        <f t="shared" si="25"/>
        <v>80.757499999999993</v>
      </c>
      <c r="AA69" s="14">
        <f t="shared" si="25"/>
        <v>82.527500000000003</v>
      </c>
      <c r="AB69" s="14">
        <f t="shared" si="25"/>
        <v>79.222499999999997</v>
      </c>
      <c r="AC69" s="14">
        <f t="shared" si="25"/>
        <v>80.087500000000006</v>
      </c>
    </row>
    <row r="70" spans="1:30">
      <c r="A70" s="13" t="s">
        <v>18</v>
      </c>
      <c r="B70" s="13" t="s">
        <v>23</v>
      </c>
      <c r="C70" s="11">
        <v>55747.9</v>
      </c>
      <c r="D70" s="11">
        <v>55954.3</v>
      </c>
      <c r="E70" s="11">
        <v>55706.2</v>
      </c>
      <c r="F70" s="11">
        <v>55639.5</v>
      </c>
      <c r="G70" s="11">
        <v>55989.5</v>
      </c>
      <c r="H70" s="20"/>
      <c r="K70" s="2"/>
      <c r="L70" s="5"/>
      <c r="M70" s="5"/>
      <c r="N70" s="5"/>
      <c r="O70" s="2"/>
      <c r="P70" s="2"/>
      <c r="R70" s="13" t="s">
        <v>24</v>
      </c>
      <c r="S70" s="13" t="s">
        <v>17</v>
      </c>
      <c r="T70" s="14">
        <f t="shared" si="26"/>
        <v>100</v>
      </c>
      <c r="U70" s="14">
        <f t="shared" si="26"/>
        <v>100</v>
      </c>
      <c r="V70" s="14">
        <f t="shared" si="26"/>
        <v>100</v>
      </c>
      <c r="W70" s="14">
        <f t="shared" si="26"/>
        <v>100</v>
      </c>
      <c r="X70" s="14">
        <f t="shared" si="26"/>
        <v>100</v>
      </c>
      <c r="Y70" s="14">
        <f t="shared" si="25"/>
        <v>29.1325</v>
      </c>
      <c r="Z70" s="14">
        <f t="shared" si="25"/>
        <v>27.927499999999998</v>
      </c>
      <c r="AA70" s="14">
        <f t="shared" si="25"/>
        <v>28.88</v>
      </c>
      <c r="AB70" s="14">
        <f t="shared" si="25"/>
        <v>27.17</v>
      </c>
      <c r="AC70" s="14">
        <f t="shared" si="25"/>
        <v>27.4025</v>
      </c>
    </row>
    <row r="71" spans="1:30">
      <c r="A71" s="13" t="s">
        <v>18</v>
      </c>
      <c r="B71" s="13" t="s">
        <v>31</v>
      </c>
      <c r="C71" s="11">
        <v>57262.5</v>
      </c>
      <c r="D71" s="11">
        <v>57301</v>
      </c>
      <c r="E71" s="11">
        <v>57495.9</v>
      </c>
      <c r="F71" s="11">
        <v>57313.2</v>
      </c>
      <c r="G71" s="11">
        <v>57167.3</v>
      </c>
      <c r="H71" s="20"/>
      <c r="K71" s="2"/>
      <c r="L71" s="5"/>
      <c r="M71" s="5"/>
      <c r="N71" s="5"/>
      <c r="O71" s="2"/>
      <c r="P71" s="2"/>
      <c r="R71" s="13" t="s">
        <v>18</v>
      </c>
      <c r="S71" s="13" t="s">
        <v>23</v>
      </c>
      <c r="T71" s="14">
        <f t="shared" ref="T71:X76" si="27">T32/T$37*100</f>
        <v>99.541289318058446</v>
      </c>
      <c r="U71" s="14">
        <f t="shared" si="27"/>
        <v>99.978558525398313</v>
      </c>
      <c r="V71" s="14">
        <f t="shared" si="27"/>
        <v>99.637980561130121</v>
      </c>
      <c r="W71" s="14">
        <f t="shared" si="27"/>
        <v>99.63772657758166</v>
      </c>
      <c r="X71" s="14">
        <f t="shared" si="27"/>
        <v>99.736894608209894</v>
      </c>
      <c r="Y71" s="14">
        <f t="shared" ref="Y71:AC76" si="28">Y32/$B$35</f>
        <v>85.012500000000003</v>
      </c>
      <c r="Z71" s="14">
        <f t="shared" si="28"/>
        <v>86.617500000000007</v>
      </c>
      <c r="AA71" s="14">
        <f t="shared" si="28"/>
        <v>84.772499999999994</v>
      </c>
      <c r="AB71" s="14">
        <f t="shared" si="28"/>
        <v>84.935000000000002</v>
      </c>
      <c r="AC71" s="14">
        <f t="shared" si="28"/>
        <v>89.025000000000006</v>
      </c>
    </row>
    <row r="72" spans="1:30">
      <c r="A72" s="13" t="s">
        <v>18</v>
      </c>
      <c r="B72" s="13" t="s">
        <v>21</v>
      </c>
      <c r="C72" s="11">
        <v>55954.7</v>
      </c>
      <c r="D72" s="11">
        <v>55700.2</v>
      </c>
      <c r="E72" s="11">
        <v>56553</v>
      </c>
      <c r="F72" s="11">
        <v>55911.199999999997</v>
      </c>
      <c r="G72" s="11">
        <v>56698</v>
      </c>
      <c r="H72" s="20"/>
      <c r="K72" s="2"/>
      <c r="L72" s="5"/>
      <c r="M72" s="5"/>
      <c r="N72" s="5"/>
      <c r="O72" s="2"/>
      <c r="P72" s="2"/>
      <c r="R72" s="13" t="s">
        <v>18</v>
      </c>
      <c r="S72" s="13" t="s">
        <v>22</v>
      </c>
      <c r="T72" s="14">
        <f t="shared" si="27"/>
        <v>102.24570036853984</v>
      </c>
      <c r="U72" s="14">
        <f t="shared" si="27"/>
        <v>102.38482801257184</v>
      </c>
      <c r="V72" s="14">
        <f t="shared" si="27"/>
        <v>102.83909809939796</v>
      </c>
      <c r="W72" s="14">
        <f t="shared" si="27"/>
        <v>102.63494371599768</v>
      </c>
      <c r="X72" s="14">
        <f t="shared" si="27"/>
        <v>101.83496861261338</v>
      </c>
      <c r="Y72" s="14">
        <f t="shared" si="28"/>
        <v>53.182499999999997</v>
      </c>
      <c r="Z72" s="14">
        <f t="shared" si="28"/>
        <v>54.897500000000001</v>
      </c>
      <c r="AA72" s="14">
        <f t="shared" si="28"/>
        <v>53.262500000000003</v>
      </c>
      <c r="AB72" s="14">
        <f t="shared" si="28"/>
        <v>53.767499999999998</v>
      </c>
      <c r="AC72" s="14">
        <f t="shared" si="28"/>
        <v>56.1875</v>
      </c>
    </row>
    <row r="73" spans="1:30">
      <c r="A73" s="13" t="s">
        <v>18</v>
      </c>
      <c r="B73" s="13" t="s">
        <v>20</v>
      </c>
      <c r="C73" s="11">
        <v>57444</v>
      </c>
      <c r="D73" s="11">
        <v>57209.5</v>
      </c>
      <c r="E73" s="11">
        <v>57429.4</v>
      </c>
      <c r="F73" s="11">
        <v>57429</v>
      </c>
      <c r="G73" s="11">
        <v>57414.2</v>
      </c>
      <c r="H73" s="20"/>
      <c r="K73" s="2"/>
      <c r="L73" s="5"/>
      <c r="M73" s="5"/>
      <c r="N73" s="5"/>
      <c r="O73" s="2"/>
      <c r="P73" s="2"/>
      <c r="R73" s="13" t="s">
        <v>18</v>
      </c>
      <c r="S73" s="13" t="s">
        <v>21</v>
      </c>
      <c r="T73" s="14">
        <f t="shared" si="27"/>
        <v>99.910543381995822</v>
      </c>
      <c r="U73" s="14">
        <f t="shared" si="27"/>
        <v>99.52453530070774</v>
      </c>
      <c r="V73" s="14">
        <f t="shared" si="27"/>
        <v>101.15259548620428</v>
      </c>
      <c r="W73" s="14">
        <f t="shared" si="27"/>
        <v>100.12427966147222</v>
      </c>
      <c r="X73" s="14">
        <f t="shared" si="27"/>
        <v>100.99898106781244</v>
      </c>
      <c r="Y73" s="14">
        <f t="shared" si="28"/>
        <v>41.837499999999999</v>
      </c>
      <c r="Z73" s="14">
        <f t="shared" si="28"/>
        <v>43.157499999999999</v>
      </c>
      <c r="AA73" s="14">
        <f t="shared" si="28"/>
        <v>41.942500000000003</v>
      </c>
      <c r="AB73" s="14">
        <f t="shared" si="28"/>
        <v>42.395000000000003</v>
      </c>
      <c r="AC73" s="14">
        <f t="shared" si="28"/>
        <v>41.66</v>
      </c>
    </row>
    <row r="74" spans="1:30">
      <c r="A74" s="13" t="s">
        <v>18</v>
      </c>
      <c r="B74" s="13" t="s">
        <v>19</v>
      </c>
      <c r="C74" s="11">
        <v>58460.2</v>
      </c>
      <c r="D74" s="11">
        <v>58246.7</v>
      </c>
      <c r="E74" s="11">
        <v>58516.3</v>
      </c>
      <c r="F74" s="11">
        <v>58668.5</v>
      </c>
      <c r="G74" s="11">
        <v>58190.8</v>
      </c>
      <c r="H74" s="20"/>
      <c r="K74" s="2"/>
      <c r="L74" s="5"/>
      <c r="M74" s="5"/>
      <c r="N74" s="5"/>
      <c r="O74" s="2"/>
      <c r="P74" s="2"/>
      <c r="R74" s="13" t="s">
        <v>18</v>
      </c>
      <c r="S74" s="13" t="s">
        <v>20</v>
      </c>
      <c r="T74" s="14">
        <f t="shared" si="27"/>
        <v>102.56977973316572</v>
      </c>
      <c r="U74" s="14">
        <f t="shared" si="27"/>
        <v>102.22133676873403</v>
      </c>
      <c r="V74" s="14">
        <f t="shared" si="27"/>
        <v>102.72015396557954</v>
      </c>
      <c r="W74" s="14">
        <f t="shared" si="27"/>
        <v>102.84231525488075</v>
      </c>
      <c r="X74" s="14">
        <f t="shared" si="27"/>
        <v>102.27478392224765</v>
      </c>
      <c r="Y74" s="14">
        <f t="shared" si="28"/>
        <v>46.2425</v>
      </c>
      <c r="Z74" s="14">
        <f t="shared" si="28"/>
        <v>46.797499999999999</v>
      </c>
      <c r="AA74" s="14">
        <f t="shared" si="28"/>
        <v>44.05</v>
      </c>
      <c r="AB74" s="14">
        <f t="shared" si="28"/>
        <v>45.32</v>
      </c>
      <c r="AC74" s="14">
        <f t="shared" si="28"/>
        <v>43.95</v>
      </c>
      <c r="AD74" s="15"/>
    </row>
    <row r="75" spans="1:30">
      <c r="A75" s="13" t="s">
        <v>18</v>
      </c>
      <c r="B75" s="13" t="s">
        <v>17</v>
      </c>
      <c r="C75" s="11">
        <v>56004.800000000003</v>
      </c>
      <c r="D75" s="11">
        <v>55966.3</v>
      </c>
      <c r="E75" s="11">
        <v>55908.6</v>
      </c>
      <c r="F75" s="11">
        <v>55841.8</v>
      </c>
      <c r="G75" s="11">
        <v>56137.2</v>
      </c>
      <c r="H75" s="20"/>
      <c r="L75" s="5"/>
      <c r="M75" s="5"/>
      <c r="N75" s="5"/>
      <c r="O75" s="2"/>
      <c r="P75" s="2"/>
      <c r="R75" s="13" t="s">
        <v>18</v>
      </c>
      <c r="S75" s="13" t="s">
        <v>19</v>
      </c>
      <c r="T75" s="14">
        <f t="shared" si="27"/>
        <v>104.38426706282317</v>
      </c>
      <c r="U75" s="14">
        <f t="shared" si="27"/>
        <v>104.07459489013924</v>
      </c>
      <c r="V75" s="14">
        <f t="shared" si="27"/>
        <v>104.66421981591382</v>
      </c>
      <c r="W75" s="14">
        <f t="shared" si="27"/>
        <v>105.0619786611463</v>
      </c>
      <c r="X75" s="14">
        <f t="shared" si="27"/>
        <v>103.65818031537022</v>
      </c>
      <c r="Y75" s="14">
        <f t="shared" si="28"/>
        <v>73.38</v>
      </c>
      <c r="Z75" s="14">
        <f t="shared" si="28"/>
        <v>71.245000000000005</v>
      </c>
      <c r="AA75" s="14">
        <f t="shared" si="28"/>
        <v>72.484999999999999</v>
      </c>
      <c r="AB75" s="14">
        <f t="shared" si="28"/>
        <v>73.887500000000003</v>
      </c>
      <c r="AC75" s="14">
        <f t="shared" si="28"/>
        <v>72.575000000000003</v>
      </c>
      <c r="AD75" s="15"/>
    </row>
    <row r="76" spans="1:30">
      <c r="C76" s="11" t="s">
        <v>30</v>
      </c>
      <c r="D76" s="11" t="s">
        <v>30</v>
      </c>
      <c r="E76" s="11" t="s">
        <v>30</v>
      </c>
      <c r="F76" s="11" t="s">
        <v>30</v>
      </c>
      <c r="G76" s="11" t="s">
        <v>30</v>
      </c>
      <c r="L76" s="5"/>
      <c r="M76" s="5"/>
      <c r="N76" s="5"/>
      <c r="O76" s="2"/>
      <c r="P76" s="2"/>
      <c r="R76" s="13" t="s">
        <v>18</v>
      </c>
      <c r="S76" s="13" t="s">
        <v>17</v>
      </c>
      <c r="T76" s="14">
        <f t="shared" si="27"/>
        <v>100</v>
      </c>
      <c r="U76" s="14">
        <f t="shared" si="27"/>
        <v>100</v>
      </c>
      <c r="V76" s="14">
        <f t="shared" si="27"/>
        <v>100</v>
      </c>
      <c r="W76" s="14">
        <f t="shared" si="27"/>
        <v>100</v>
      </c>
      <c r="X76" s="14">
        <f t="shared" si="27"/>
        <v>100</v>
      </c>
      <c r="Y76" s="14">
        <f t="shared" si="28"/>
        <v>28.287500000000001</v>
      </c>
      <c r="Z76" s="14">
        <f t="shared" si="28"/>
        <v>29.0625</v>
      </c>
      <c r="AA76" s="14">
        <f t="shared" si="28"/>
        <v>28.954999999999998</v>
      </c>
      <c r="AB76" s="14">
        <f t="shared" si="28"/>
        <v>27.885000000000002</v>
      </c>
      <c r="AC76" s="14">
        <f t="shared" si="28"/>
        <v>28.232500000000002</v>
      </c>
    </row>
    <row r="77" spans="1:30">
      <c r="A77" s="13" t="s">
        <v>28</v>
      </c>
      <c r="B77" s="13" t="s">
        <v>23</v>
      </c>
      <c r="C77" s="11">
        <v>344.85</v>
      </c>
      <c r="D77" s="11">
        <v>338.49</v>
      </c>
      <c r="E77" s="11">
        <v>347.48</v>
      </c>
      <c r="F77" s="11">
        <v>355.15</v>
      </c>
      <c r="G77" s="11">
        <v>354.87</v>
      </c>
      <c r="H77" s="20" t="s">
        <v>29</v>
      </c>
      <c r="L77" s="5"/>
      <c r="M77" s="5"/>
      <c r="N77" s="5"/>
      <c r="T77" s="1"/>
      <c r="U77" s="1"/>
      <c r="V77" s="1"/>
      <c r="W77" s="1"/>
      <c r="X77" s="1"/>
    </row>
    <row r="78" spans="1:30">
      <c r="A78" s="13" t="s">
        <v>28</v>
      </c>
      <c r="B78" s="13" t="s">
        <v>22</v>
      </c>
      <c r="C78" s="11">
        <v>219.03</v>
      </c>
      <c r="D78" s="11">
        <v>213.21</v>
      </c>
      <c r="E78" s="11">
        <v>207.15</v>
      </c>
      <c r="F78" s="11">
        <v>211.51</v>
      </c>
      <c r="G78" s="11">
        <v>209.66</v>
      </c>
      <c r="H78" s="20"/>
      <c r="L78" s="5"/>
      <c r="M78" s="5"/>
      <c r="N78" s="5"/>
      <c r="T78" s="1"/>
      <c r="U78" s="1"/>
      <c r="V78" s="1"/>
      <c r="W78" s="1"/>
      <c r="X78" s="1"/>
    </row>
    <row r="79" spans="1:30">
      <c r="A79" s="13" t="s">
        <v>28</v>
      </c>
      <c r="B79" s="13" t="s">
        <v>21</v>
      </c>
      <c r="C79" s="11">
        <v>161.15</v>
      </c>
      <c r="D79" s="11">
        <v>159.35</v>
      </c>
      <c r="E79" s="11">
        <v>167.92</v>
      </c>
      <c r="F79" s="11">
        <v>157.77000000000001</v>
      </c>
      <c r="G79" s="11">
        <v>169.69</v>
      </c>
      <c r="H79" s="20"/>
      <c r="L79" s="5"/>
      <c r="M79" s="5"/>
      <c r="N79" s="5"/>
      <c r="T79" s="1"/>
      <c r="U79" s="1"/>
      <c r="V79" s="1"/>
      <c r="W79" s="1"/>
      <c r="X79" s="1"/>
    </row>
    <row r="80" spans="1:30">
      <c r="A80" s="13" t="s">
        <v>28</v>
      </c>
      <c r="B80" s="13" t="s">
        <v>20</v>
      </c>
      <c r="C80" s="11">
        <v>171.97</v>
      </c>
      <c r="D80" s="11">
        <v>180.32</v>
      </c>
      <c r="E80" s="11">
        <v>177.2</v>
      </c>
      <c r="F80" s="11">
        <v>177.01</v>
      </c>
      <c r="G80" s="11">
        <v>173.02</v>
      </c>
      <c r="H80" s="20"/>
      <c r="L80" s="5"/>
      <c r="M80" s="5"/>
      <c r="N80" s="5"/>
      <c r="T80" s="1"/>
      <c r="U80" s="1"/>
      <c r="V80" s="1"/>
      <c r="W80" s="1"/>
      <c r="X80" s="1"/>
    </row>
    <row r="81" spans="1:24">
      <c r="A81" s="13" t="s">
        <v>28</v>
      </c>
      <c r="B81" s="13" t="s">
        <v>19</v>
      </c>
      <c r="C81" s="11">
        <v>299.94</v>
      </c>
      <c r="D81" s="11">
        <v>284.64999999999998</v>
      </c>
      <c r="E81" s="11">
        <v>287.64999999999998</v>
      </c>
      <c r="F81" s="11">
        <v>300.61</v>
      </c>
      <c r="G81" s="11">
        <v>291.25</v>
      </c>
      <c r="H81" s="20"/>
      <c r="L81" s="5"/>
      <c r="M81" s="5"/>
      <c r="N81" s="5"/>
      <c r="T81" s="1"/>
      <c r="U81" s="1"/>
      <c r="V81" s="1"/>
      <c r="W81" s="1"/>
      <c r="X81" s="1"/>
    </row>
    <row r="82" spans="1:24">
      <c r="A82" s="13" t="s">
        <v>28</v>
      </c>
      <c r="B82" s="13" t="s">
        <v>17</v>
      </c>
      <c r="C82" s="11">
        <v>106.5</v>
      </c>
      <c r="D82" s="11">
        <v>105.91</v>
      </c>
      <c r="E82" s="11">
        <v>103.26</v>
      </c>
      <c r="F82" s="11">
        <v>107.95</v>
      </c>
      <c r="G82" s="11">
        <v>104.87</v>
      </c>
      <c r="H82" s="20"/>
      <c r="L82" s="5"/>
      <c r="M82" s="5"/>
      <c r="N82" s="5"/>
      <c r="T82" s="1"/>
      <c r="U82" s="1"/>
      <c r="V82" s="1"/>
      <c r="W82" s="1"/>
      <c r="X82" s="1"/>
    </row>
    <row r="83" spans="1:24">
      <c r="A83" s="13" t="s">
        <v>27</v>
      </c>
      <c r="B83" s="13" t="s">
        <v>23</v>
      </c>
      <c r="C83" s="11">
        <v>355.47</v>
      </c>
      <c r="D83" s="11">
        <v>352.53</v>
      </c>
      <c r="E83" s="11">
        <v>345.77</v>
      </c>
      <c r="F83" s="11">
        <v>351.69</v>
      </c>
      <c r="G83" s="11">
        <v>349.62</v>
      </c>
      <c r="H83" s="20"/>
      <c r="L83" s="5"/>
      <c r="M83" s="5"/>
      <c r="N83" s="5"/>
      <c r="T83" s="1"/>
      <c r="U83" s="1"/>
      <c r="V83" s="1"/>
      <c r="W83" s="1"/>
      <c r="X83" s="1"/>
    </row>
    <row r="84" spans="1:24">
      <c r="A84" s="13" t="s">
        <v>27</v>
      </c>
      <c r="B84" s="13" t="s">
        <v>22</v>
      </c>
      <c r="C84" s="11">
        <v>197.48</v>
      </c>
      <c r="D84" s="11">
        <v>202.35</v>
      </c>
      <c r="E84" s="11">
        <v>195.75</v>
      </c>
      <c r="F84" s="11">
        <v>203.12</v>
      </c>
      <c r="G84" s="11">
        <v>197.19</v>
      </c>
      <c r="H84" s="20"/>
      <c r="L84" s="5"/>
      <c r="M84" s="5"/>
      <c r="N84" s="5"/>
      <c r="T84" s="1"/>
      <c r="U84" s="1"/>
      <c r="V84" s="1"/>
      <c r="W84" s="1"/>
      <c r="X84" s="1"/>
    </row>
    <row r="85" spans="1:24">
      <c r="A85" s="13" t="s">
        <v>27</v>
      </c>
      <c r="B85" s="13" t="s">
        <v>21</v>
      </c>
      <c r="C85" s="11">
        <v>144.38999999999999</v>
      </c>
      <c r="D85" s="11">
        <v>137.91</v>
      </c>
      <c r="E85" s="11">
        <v>141</v>
      </c>
      <c r="F85" s="11">
        <v>142.68</v>
      </c>
      <c r="G85" s="11">
        <v>137.69999999999999</v>
      </c>
      <c r="H85" s="20"/>
      <c r="L85" s="5"/>
      <c r="M85" s="5"/>
      <c r="N85" s="5"/>
      <c r="T85" s="1"/>
      <c r="U85" s="1"/>
      <c r="V85" s="1"/>
      <c r="W85" s="1"/>
      <c r="X85" s="1"/>
    </row>
    <row r="86" spans="1:24">
      <c r="A86" s="13" t="s">
        <v>27</v>
      </c>
      <c r="B86" s="13" t="s">
        <v>20</v>
      </c>
      <c r="C86" s="11">
        <v>147.63999999999999</v>
      </c>
      <c r="D86" s="11">
        <v>148.32</v>
      </c>
      <c r="E86" s="11">
        <v>148.55000000000001</v>
      </c>
      <c r="F86" s="11">
        <v>148.24</v>
      </c>
      <c r="G86" s="11">
        <v>145.91</v>
      </c>
      <c r="H86" s="20"/>
      <c r="L86" s="5"/>
      <c r="M86" s="5"/>
      <c r="N86" s="5"/>
      <c r="T86" s="1"/>
      <c r="U86" s="1"/>
      <c r="V86" s="1"/>
      <c r="W86" s="1"/>
      <c r="X86" s="1"/>
    </row>
    <row r="87" spans="1:24">
      <c r="A87" s="13" t="s">
        <v>27</v>
      </c>
      <c r="B87" s="13" t="s">
        <v>19</v>
      </c>
      <c r="C87" s="11">
        <v>303.39999999999998</v>
      </c>
      <c r="D87" s="11">
        <v>288.63</v>
      </c>
      <c r="E87" s="11">
        <v>299.11</v>
      </c>
      <c r="F87" s="11">
        <v>281.11</v>
      </c>
      <c r="G87" s="11">
        <v>294.04000000000002</v>
      </c>
      <c r="H87" s="20"/>
      <c r="L87" s="5"/>
      <c r="M87" s="5"/>
      <c r="N87" s="5"/>
      <c r="T87" s="1"/>
      <c r="U87" s="1"/>
      <c r="V87" s="1"/>
      <c r="W87" s="1"/>
      <c r="X87" s="1"/>
    </row>
    <row r="88" spans="1:24">
      <c r="A88" s="13" t="s">
        <v>27</v>
      </c>
      <c r="B88" s="13" t="s">
        <v>17</v>
      </c>
      <c r="C88" s="11">
        <v>82.01</v>
      </c>
      <c r="D88" s="11">
        <v>79.19</v>
      </c>
      <c r="E88" s="11">
        <v>81.78</v>
      </c>
      <c r="F88" s="11">
        <v>83.98</v>
      </c>
      <c r="G88" s="11">
        <v>82.94</v>
      </c>
      <c r="H88" s="20"/>
      <c r="L88" s="5"/>
      <c r="M88" s="5"/>
      <c r="N88" s="5"/>
      <c r="T88" s="1"/>
      <c r="U88" s="1"/>
      <c r="V88" s="1"/>
      <c r="W88" s="1"/>
      <c r="X88" s="1"/>
    </row>
    <row r="89" spans="1:24">
      <c r="A89" s="13" t="s">
        <v>26</v>
      </c>
      <c r="B89" s="13" t="s">
        <v>23</v>
      </c>
      <c r="C89" s="11">
        <v>356.36</v>
      </c>
      <c r="D89" s="11">
        <v>348.12</v>
      </c>
      <c r="E89" s="11">
        <v>361.92</v>
      </c>
      <c r="F89" s="11">
        <v>365.29</v>
      </c>
      <c r="G89" s="11">
        <v>363.66</v>
      </c>
      <c r="H89" s="20"/>
      <c r="L89" s="5"/>
      <c r="M89" s="5"/>
      <c r="N89" s="5"/>
      <c r="T89" s="1"/>
      <c r="U89" s="1"/>
      <c r="V89" s="1"/>
      <c r="W89" s="1"/>
      <c r="X89" s="1"/>
    </row>
    <row r="90" spans="1:24">
      <c r="A90" s="13" t="s">
        <v>26</v>
      </c>
      <c r="B90" s="13" t="s">
        <v>22</v>
      </c>
      <c r="C90" s="11">
        <v>189.19</v>
      </c>
      <c r="D90" s="11">
        <v>183.42</v>
      </c>
      <c r="E90" s="11">
        <v>188.06</v>
      </c>
      <c r="F90" s="11">
        <v>188.22</v>
      </c>
      <c r="G90" s="11">
        <v>185.85</v>
      </c>
      <c r="H90" s="20"/>
      <c r="L90" s="5"/>
      <c r="M90" s="5"/>
      <c r="N90" s="5"/>
      <c r="T90" s="1"/>
      <c r="U90" s="1"/>
      <c r="V90" s="1"/>
      <c r="W90" s="1"/>
      <c r="X90" s="1"/>
    </row>
    <row r="91" spans="1:24">
      <c r="A91" s="13" t="s">
        <v>26</v>
      </c>
      <c r="B91" s="13" t="s">
        <v>21</v>
      </c>
      <c r="C91" s="11">
        <v>124.48</v>
      </c>
      <c r="D91" s="11">
        <v>123.89</v>
      </c>
      <c r="E91" s="11">
        <v>129.16</v>
      </c>
      <c r="F91" s="11">
        <v>128.63999999999999</v>
      </c>
      <c r="G91" s="11">
        <v>129.03</v>
      </c>
      <c r="H91" s="20"/>
      <c r="L91" s="5"/>
      <c r="M91" s="5"/>
      <c r="N91" s="5"/>
      <c r="T91" s="1"/>
      <c r="U91" s="1"/>
      <c r="V91" s="1"/>
      <c r="W91" s="1"/>
      <c r="X91" s="1"/>
    </row>
    <row r="92" spans="1:24">
      <c r="A92" s="13" t="s">
        <v>26</v>
      </c>
      <c r="B92" s="13" t="s">
        <v>20</v>
      </c>
      <c r="C92" s="11">
        <v>134.11000000000001</v>
      </c>
      <c r="D92" s="11">
        <v>140.13</v>
      </c>
      <c r="E92" s="11">
        <v>134.72999999999999</v>
      </c>
      <c r="F92" s="11">
        <v>141.44999999999999</v>
      </c>
      <c r="G92" s="11">
        <v>140.93</v>
      </c>
      <c r="H92" s="20"/>
      <c r="L92" s="5"/>
      <c r="M92" s="5"/>
      <c r="N92" s="5"/>
      <c r="T92" s="1"/>
      <c r="U92" s="1"/>
      <c r="V92" s="1"/>
      <c r="W92" s="1"/>
      <c r="X92" s="1"/>
    </row>
    <row r="93" spans="1:24">
      <c r="A93" s="13" t="s">
        <v>26</v>
      </c>
      <c r="B93" s="13" t="s">
        <v>19</v>
      </c>
      <c r="C93" s="11">
        <v>318.22000000000003</v>
      </c>
      <c r="D93" s="11">
        <v>315.58</v>
      </c>
      <c r="E93" s="11">
        <v>306.92</v>
      </c>
      <c r="F93" s="11">
        <v>325.10000000000002</v>
      </c>
      <c r="G93" s="11">
        <v>310.64</v>
      </c>
      <c r="H93" s="20"/>
      <c r="L93" s="5"/>
      <c r="M93" s="5"/>
      <c r="N93" s="5"/>
      <c r="T93" s="1"/>
      <c r="U93" s="1"/>
      <c r="V93" s="1"/>
      <c r="W93" s="1"/>
      <c r="X93" s="1"/>
    </row>
    <row r="94" spans="1:24">
      <c r="A94" s="13" t="s">
        <v>26</v>
      </c>
      <c r="B94" s="13" t="s">
        <v>17</v>
      </c>
      <c r="C94" s="11">
        <v>67.150000000000006</v>
      </c>
      <c r="D94" s="11">
        <v>68.45</v>
      </c>
      <c r="E94" s="11">
        <v>69</v>
      </c>
      <c r="F94" s="11">
        <v>71.13</v>
      </c>
      <c r="G94" s="11">
        <v>68.38</v>
      </c>
      <c r="H94" s="20"/>
      <c r="L94" s="5"/>
      <c r="M94" s="5"/>
      <c r="N94" s="5"/>
      <c r="S94" s="2"/>
      <c r="T94" s="1"/>
      <c r="U94" s="1"/>
      <c r="V94" s="1"/>
      <c r="W94" s="1"/>
      <c r="X94" s="1"/>
    </row>
    <row r="95" spans="1:24">
      <c r="A95" s="13" t="s">
        <v>25</v>
      </c>
      <c r="B95" s="13" t="s">
        <v>23</v>
      </c>
      <c r="C95" s="11">
        <v>352.21</v>
      </c>
      <c r="D95" s="11">
        <v>355.03</v>
      </c>
      <c r="E95" s="11">
        <v>338.74</v>
      </c>
      <c r="F95" s="11">
        <v>360.59</v>
      </c>
      <c r="G95" s="11">
        <v>340.52</v>
      </c>
      <c r="H95" s="20"/>
      <c r="L95" s="5"/>
      <c r="M95" s="5"/>
      <c r="N95" s="5"/>
      <c r="S95" s="2"/>
      <c r="T95" s="1"/>
      <c r="U95" s="1"/>
      <c r="V95" s="1"/>
      <c r="W95" s="1"/>
      <c r="X95" s="1"/>
    </row>
    <row r="96" spans="1:24">
      <c r="A96" s="13" t="s">
        <v>25</v>
      </c>
      <c r="B96" s="13" t="s">
        <v>22</v>
      </c>
      <c r="C96" s="11">
        <v>218.91</v>
      </c>
      <c r="D96" s="11">
        <v>227.7</v>
      </c>
      <c r="E96" s="11">
        <v>222.67</v>
      </c>
      <c r="F96" s="11">
        <v>225.94</v>
      </c>
      <c r="G96" s="11">
        <v>221.33</v>
      </c>
      <c r="H96" s="20"/>
      <c r="L96" s="5"/>
      <c r="M96" s="5"/>
      <c r="N96" s="5"/>
      <c r="S96" s="2"/>
      <c r="T96" s="1"/>
      <c r="U96" s="1"/>
      <c r="V96" s="1"/>
      <c r="W96" s="1"/>
      <c r="X96" s="1"/>
    </row>
    <row r="97" spans="1:24">
      <c r="A97" s="13" t="s">
        <v>25</v>
      </c>
      <c r="B97" s="13" t="s">
        <v>21</v>
      </c>
      <c r="C97" s="11">
        <v>179.26</v>
      </c>
      <c r="D97" s="11">
        <v>182.59</v>
      </c>
      <c r="E97" s="11">
        <v>171.7</v>
      </c>
      <c r="F97" s="11">
        <v>174.15</v>
      </c>
      <c r="G97" s="11">
        <v>180.39</v>
      </c>
      <c r="H97" s="20"/>
      <c r="L97" s="5"/>
      <c r="M97" s="5"/>
      <c r="N97" s="5"/>
      <c r="S97" s="2"/>
      <c r="T97" s="1"/>
      <c r="U97" s="1"/>
      <c r="V97" s="1"/>
      <c r="W97" s="1"/>
      <c r="X97" s="1"/>
    </row>
    <row r="98" spans="1:24">
      <c r="A98" s="13" t="s">
        <v>25</v>
      </c>
      <c r="B98" s="13" t="s">
        <v>20</v>
      </c>
      <c r="C98" s="11">
        <v>183.11</v>
      </c>
      <c r="D98" s="11">
        <v>183.36</v>
      </c>
      <c r="E98" s="11">
        <v>191.77</v>
      </c>
      <c r="F98" s="11">
        <v>189.32</v>
      </c>
      <c r="G98" s="11">
        <v>185.85</v>
      </c>
      <c r="H98" s="20"/>
      <c r="L98" s="5"/>
      <c r="M98" s="5"/>
      <c r="N98" s="5"/>
      <c r="S98" s="2"/>
      <c r="T98" s="1"/>
      <c r="U98" s="1"/>
      <c r="V98" s="1"/>
      <c r="W98" s="1"/>
      <c r="X98" s="1"/>
    </row>
    <row r="99" spans="1:24">
      <c r="A99" s="13" t="s">
        <v>25</v>
      </c>
      <c r="B99" s="13" t="s">
        <v>19</v>
      </c>
      <c r="C99" s="11">
        <v>305.26</v>
      </c>
      <c r="D99" s="11">
        <v>310.33</v>
      </c>
      <c r="E99" s="11">
        <v>309.86</v>
      </c>
      <c r="F99" s="11">
        <v>310.44</v>
      </c>
      <c r="G99" s="11">
        <v>289.27</v>
      </c>
      <c r="H99" s="20"/>
      <c r="L99" s="5"/>
      <c r="M99" s="5"/>
      <c r="N99" s="5"/>
      <c r="S99" s="2"/>
      <c r="T99" s="1"/>
      <c r="U99" s="1"/>
      <c r="V99" s="1"/>
      <c r="W99" s="1"/>
      <c r="X99" s="1"/>
    </row>
    <row r="100" spans="1:24">
      <c r="A100" s="13" t="s">
        <v>25</v>
      </c>
      <c r="B100" s="13" t="s">
        <v>17</v>
      </c>
      <c r="C100" s="11">
        <v>123.15</v>
      </c>
      <c r="D100" s="11">
        <v>126.17</v>
      </c>
      <c r="E100" s="11">
        <v>126.88</v>
      </c>
      <c r="F100" s="11">
        <v>124.83</v>
      </c>
      <c r="G100" s="11">
        <v>130.49</v>
      </c>
      <c r="H100" s="20"/>
      <c r="L100" s="5"/>
      <c r="M100" s="5"/>
      <c r="N100" s="5"/>
      <c r="S100" s="2"/>
      <c r="T100" s="1"/>
      <c r="U100" s="1"/>
      <c r="V100" s="1"/>
      <c r="W100" s="1"/>
      <c r="X100" s="1"/>
    </row>
    <row r="101" spans="1:24">
      <c r="A101" s="13" t="s">
        <v>24</v>
      </c>
      <c r="B101" s="13" t="s">
        <v>23</v>
      </c>
      <c r="C101" s="11">
        <v>357.64</v>
      </c>
      <c r="D101" s="11">
        <v>349.46</v>
      </c>
      <c r="E101" s="11">
        <v>347.4</v>
      </c>
      <c r="F101" s="11">
        <v>353.44</v>
      </c>
      <c r="G101" s="11">
        <v>343.34</v>
      </c>
      <c r="H101" s="20"/>
      <c r="L101" s="5"/>
      <c r="M101" s="5"/>
      <c r="N101" s="5"/>
      <c r="S101" s="2"/>
      <c r="T101" s="1"/>
      <c r="U101" s="1"/>
      <c r="V101" s="1"/>
      <c r="W101" s="1"/>
      <c r="X101" s="1"/>
    </row>
    <row r="102" spans="1:24">
      <c r="A102" s="13" t="s">
        <v>24</v>
      </c>
      <c r="B102" s="13" t="s">
        <v>22</v>
      </c>
      <c r="C102" s="11">
        <v>213.91</v>
      </c>
      <c r="D102" s="11">
        <v>212.72</v>
      </c>
      <c r="E102" s="11">
        <v>211.45</v>
      </c>
      <c r="F102" s="11">
        <v>212.19</v>
      </c>
      <c r="G102" s="11">
        <v>227.84</v>
      </c>
      <c r="H102" s="20"/>
      <c r="L102" s="5"/>
      <c r="M102" s="5"/>
      <c r="N102" s="5"/>
      <c r="S102" s="2"/>
      <c r="T102" s="1"/>
      <c r="U102" s="1"/>
      <c r="V102" s="1"/>
      <c r="W102" s="1"/>
      <c r="X102" s="1"/>
    </row>
    <row r="103" spans="1:24">
      <c r="A103" s="13" t="s">
        <v>24</v>
      </c>
      <c r="B103" s="13" t="s">
        <v>21</v>
      </c>
      <c r="C103" s="11">
        <v>138.94999999999999</v>
      </c>
      <c r="D103" s="11">
        <v>136.57</v>
      </c>
      <c r="E103" s="11">
        <v>135.79</v>
      </c>
      <c r="F103" s="11">
        <v>129.87</v>
      </c>
      <c r="G103" s="11">
        <v>133.72999999999999</v>
      </c>
      <c r="H103" s="20"/>
      <c r="L103" s="5"/>
      <c r="M103" s="5"/>
      <c r="N103" s="5"/>
      <c r="S103" s="2"/>
      <c r="T103" s="1"/>
      <c r="U103" s="1"/>
      <c r="V103" s="1"/>
      <c r="W103" s="1"/>
      <c r="X103" s="1"/>
    </row>
    <row r="104" spans="1:24">
      <c r="A104" s="13" t="s">
        <v>24</v>
      </c>
      <c r="B104" s="13" t="s">
        <v>20</v>
      </c>
      <c r="C104" s="11">
        <v>170</v>
      </c>
      <c r="D104" s="11">
        <v>183.94</v>
      </c>
      <c r="E104" s="11">
        <v>175.3</v>
      </c>
      <c r="F104" s="11">
        <v>175.46</v>
      </c>
      <c r="G104" s="11">
        <v>174.67</v>
      </c>
      <c r="H104" s="20"/>
      <c r="L104" s="5"/>
      <c r="M104" s="5"/>
      <c r="N104" s="5"/>
      <c r="S104" s="2"/>
      <c r="T104" s="1"/>
      <c r="U104" s="1"/>
      <c r="V104" s="1"/>
      <c r="W104" s="1"/>
      <c r="X104" s="1"/>
    </row>
    <row r="105" spans="1:24">
      <c r="A105" s="13" t="s">
        <v>24</v>
      </c>
      <c r="B105" s="13" t="s">
        <v>19</v>
      </c>
      <c r="C105" s="11">
        <v>341.66</v>
      </c>
      <c r="D105" s="11">
        <v>323.02999999999997</v>
      </c>
      <c r="E105" s="11">
        <v>330.11</v>
      </c>
      <c r="F105" s="11">
        <v>316.89</v>
      </c>
      <c r="G105" s="11">
        <v>320.35000000000002</v>
      </c>
      <c r="H105" s="20"/>
      <c r="L105" s="5"/>
      <c r="M105" s="5"/>
      <c r="N105" s="5"/>
      <c r="S105" s="2"/>
      <c r="T105" s="1"/>
      <c r="U105" s="1"/>
      <c r="V105" s="1"/>
      <c r="W105" s="1"/>
      <c r="X105" s="1"/>
    </row>
    <row r="106" spans="1:24">
      <c r="A106" s="13" t="s">
        <v>24</v>
      </c>
      <c r="B106" s="13" t="s">
        <v>17</v>
      </c>
      <c r="C106" s="11">
        <v>116.53</v>
      </c>
      <c r="D106" s="11">
        <v>111.71</v>
      </c>
      <c r="E106" s="11">
        <v>115.52</v>
      </c>
      <c r="F106" s="11">
        <v>108.68</v>
      </c>
      <c r="G106" s="11">
        <v>109.61</v>
      </c>
      <c r="H106" s="20"/>
      <c r="L106" s="5"/>
      <c r="M106" s="5"/>
      <c r="N106" s="5"/>
      <c r="S106" s="2"/>
      <c r="T106" s="1"/>
      <c r="U106" s="1"/>
      <c r="V106" s="1"/>
      <c r="W106" s="1"/>
      <c r="X106" s="1"/>
    </row>
    <row r="107" spans="1:24">
      <c r="A107" s="13" t="s">
        <v>18</v>
      </c>
      <c r="B107" s="13" t="s">
        <v>23</v>
      </c>
      <c r="C107" s="11">
        <v>340.05</v>
      </c>
      <c r="D107" s="11">
        <v>346.47</v>
      </c>
      <c r="E107" s="11">
        <v>339.09</v>
      </c>
      <c r="F107" s="11">
        <v>339.74</v>
      </c>
      <c r="G107" s="11">
        <v>356.1</v>
      </c>
      <c r="H107" s="20"/>
      <c r="L107" s="5"/>
      <c r="M107" s="5"/>
      <c r="N107" s="5"/>
      <c r="S107" s="2"/>
      <c r="T107" s="1"/>
      <c r="U107" s="1"/>
      <c r="V107" s="1"/>
      <c r="W107" s="1"/>
      <c r="X107" s="1"/>
    </row>
    <row r="108" spans="1:24">
      <c r="A108" s="13" t="s">
        <v>18</v>
      </c>
      <c r="B108" s="13" t="s">
        <v>22</v>
      </c>
      <c r="C108" s="11">
        <v>212.73</v>
      </c>
      <c r="D108" s="11">
        <v>219.59</v>
      </c>
      <c r="E108" s="11">
        <v>213.05</v>
      </c>
      <c r="F108" s="11">
        <v>215.07</v>
      </c>
      <c r="G108" s="11">
        <v>224.75</v>
      </c>
      <c r="H108" s="20"/>
      <c r="L108" s="5"/>
      <c r="M108" s="5"/>
      <c r="N108" s="5"/>
      <c r="S108" s="2"/>
      <c r="T108" s="1"/>
      <c r="U108" s="1"/>
      <c r="V108" s="1"/>
      <c r="W108" s="1"/>
      <c r="X108" s="1"/>
    </row>
    <row r="109" spans="1:24">
      <c r="A109" s="13" t="s">
        <v>18</v>
      </c>
      <c r="B109" s="13" t="s">
        <v>21</v>
      </c>
      <c r="C109" s="11">
        <v>167.35</v>
      </c>
      <c r="D109" s="11">
        <v>172.63</v>
      </c>
      <c r="E109" s="11">
        <v>167.77</v>
      </c>
      <c r="F109" s="11">
        <v>169.58</v>
      </c>
      <c r="G109" s="11">
        <v>166.64</v>
      </c>
      <c r="H109" s="20"/>
      <c r="L109" s="5"/>
      <c r="M109" s="5"/>
      <c r="N109" s="5"/>
      <c r="S109" s="2"/>
      <c r="T109" s="1"/>
      <c r="U109" s="1"/>
      <c r="V109" s="1"/>
      <c r="W109" s="1"/>
      <c r="X109" s="1"/>
    </row>
    <row r="110" spans="1:24">
      <c r="A110" s="13" t="s">
        <v>18</v>
      </c>
      <c r="B110" s="13" t="s">
        <v>20</v>
      </c>
      <c r="C110" s="11">
        <v>184.97</v>
      </c>
      <c r="D110" s="11">
        <v>187.19</v>
      </c>
      <c r="E110" s="11">
        <v>176.2</v>
      </c>
      <c r="F110" s="11">
        <v>181.28</v>
      </c>
      <c r="G110" s="11">
        <v>175.8</v>
      </c>
      <c r="H110" s="20"/>
      <c r="L110" s="5"/>
      <c r="M110" s="5"/>
      <c r="N110" s="5"/>
      <c r="S110" s="2"/>
      <c r="T110" s="1"/>
      <c r="U110" s="1"/>
      <c r="V110" s="1"/>
      <c r="W110" s="1"/>
      <c r="X110" s="1"/>
    </row>
    <row r="111" spans="1:24">
      <c r="A111" s="13" t="s">
        <v>18</v>
      </c>
      <c r="B111" s="13" t="s">
        <v>19</v>
      </c>
      <c r="C111" s="11">
        <v>293.52</v>
      </c>
      <c r="D111" s="11">
        <v>284.98</v>
      </c>
      <c r="E111" s="11">
        <v>289.94</v>
      </c>
      <c r="F111" s="11">
        <v>295.55</v>
      </c>
      <c r="G111" s="11">
        <v>290.3</v>
      </c>
      <c r="H111" s="20"/>
      <c r="L111" s="5"/>
      <c r="M111" s="5"/>
      <c r="N111" s="5"/>
      <c r="S111" s="2"/>
      <c r="T111" s="1"/>
      <c r="U111" s="1"/>
      <c r="V111" s="1"/>
      <c r="W111" s="1"/>
      <c r="X111" s="1"/>
    </row>
    <row r="112" spans="1:24">
      <c r="A112" s="13" t="s">
        <v>18</v>
      </c>
      <c r="B112" s="13" t="s">
        <v>17</v>
      </c>
      <c r="C112" s="11">
        <v>113.15</v>
      </c>
      <c r="D112" s="11">
        <v>116.25</v>
      </c>
      <c r="E112" s="11">
        <v>115.82</v>
      </c>
      <c r="F112" s="11">
        <v>111.54</v>
      </c>
      <c r="G112" s="11">
        <v>112.93</v>
      </c>
      <c r="H112" s="20"/>
      <c r="S112" s="2"/>
      <c r="T112" s="1"/>
      <c r="U112" s="1"/>
      <c r="V112" s="1"/>
      <c r="W112" s="1"/>
      <c r="X112" s="1"/>
    </row>
    <row r="113" spans="19:24">
      <c r="S113" s="2"/>
      <c r="T113" s="1"/>
      <c r="U113" s="1"/>
      <c r="V113" s="1"/>
      <c r="W113" s="1"/>
      <c r="X113" s="1"/>
    </row>
    <row r="114" spans="19:24">
      <c r="S114" s="2"/>
      <c r="T114" s="1"/>
      <c r="U114" s="1"/>
      <c r="V114" s="1"/>
      <c r="W114" s="1"/>
      <c r="X114" s="1"/>
    </row>
    <row r="115" spans="19:24">
      <c r="S115" s="2"/>
      <c r="T115" s="1"/>
      <c r="U115" s="1"/>
      <c r="V115" s="1"/>
      <c r="W115" s="1"/>
      <c r="X115" s="1"/>
    </row>
    <row r="116" spans="19:24">
      <c r="S116" s="2"/>
      <c r="T116" s="1"/>
      <c r="U116" s="1"/>
      <c r="V116" s="1"/>
      <c r="W116" s="1"/>
      <c r="X116" s="1"/>
    </row>
    <row r="117" spans="19:24">
      <c r="S117" s="2"/>
      <c r="T117" s="1"/>
      <c r="U117" s="1"/>
      <c r="V117" s="1"/>
      <c r="W117" s="1"/>
      <c r="X117" s="1"/>
    </row>
    <row r="118" spans="19:24">
      <c r="S118" s="2"/>
      <c r="T118" s="1"/>
      <c r="U118" s="1"/>
      <c r="V118" s="1"/>
      <c r="W118" s="1"/>
      <c r="X118" s="1"/>
    </row>
    <row r="119" spans="19:24">
      <c r="S119" s="2"/>
      <c r="T119" s="1"/>
      <c r="U119" s="1"/>
      <c r="V119" s="1"/>
      <c r="W119" s="1"/>
      <c r="X119" s="1"/>
    </row>
    <row r="120" spans="19:24">
      <c r="S120" s="2"/>
      <c r="T120" s="1"/>
      <c r="U120" s="1"/>
      <c r="V120" s="1"/>
      <c r="W120" s="1"/>
      <c r="X120" s="1"/>
    </row>
    <row r="121" spans="19:24">
      <c r="S121" s="2"/>
      <c r="T121" s="1"/>
      <c r="U121" s="1"/>
      <c r="V121" s="1"/>
      <c r="W121" s="1"/>
      <c r="X121" s="1"/>
    </row>
    <row r="122" spans="19:24">
      <c r="S122" s="2"/>
      <c r="T122" s="1"/>
      <c r="U122" s="1"/>
      <c r="V122" s="1"/>
      <c r="W122" s="1"/>
      <c r="X122" s="1"/>
    </row>
    <row r="123" spans="19:24">
      <c r="S123" s="2"/>
      <c r="T123" s="1"/>
      <c r="U123" s="1"/>
      <c r="V123" s="1"/>
      <c r="W123" s="1"/>
      <c r="X123" s="1"/>
    </row>
    <row r="124" spans="19:24">
      <c r="S124" s="2"/>
      <c r="T124" s="1"/>
      <c r="U124" s="1"/>
      <c r="V124" s="1"/>
      <c r="W124" s="1"/>
      <c r="X124" s="1"/>
    </row>
    <row r="125" spans="19:24">
      <c r="S125" s="2"/>
      <c r="T125" s="1"/>
      <c r="U125" s="1"/>
      <c r="V125" s="1"/>
      <c r="W125" s="1"/>
      <c r="X125" s="1"/>
    </row>
    <row r="126" spans="19:24">
      <c r="S126" s="2"/>
      <c r="T126" s="1"/>
      <c r="U126" s="1"/>
      <c r="V126" s="1"/>
      <c r="W126" s="1"/>
      <c r="X126" s="1"/>
    </row>
    <row r="127" spans="19:24">
      <c r="S127" s="2"/>
      <c r="T127" s="1"/>
      <c r="U127" s="1"/>
      <c r="V127" s="1"/>
      <c r="W127" s="1"/>
      <c r="X127" s="1"/>
    </row>
    <row r="128" spans="19:24">
      <c r="T128" s="1"/>
      <c r="U128" s="1"/>
      <c r="V128" s="1"/>
      <c r="W128" s="1"/>
      <c r="X128" s="1"/>
    </row>
    <row r="129" spans="20:24">
      <c r="T129" s="1"/>
      <c r="U129" s="1"/>
      <c r="V129" s="1"/>
      <c r="W129" s="1"/>
      <c r="X129" s="1"/>
    </row>
    <row r="130" spans="20:24">
      <c r="T130" s="1"/>
      <c r="U130" s="1"/>
      <c r="V130" s="1"/>
      <c r="W130" s="1"/>
      <c r="X130" s="1"/>
    </row>
    <row r="131" spans="20:24">
      <c r="T131" s="1"/>
      <c r="U131" s="1"/>
      <c r="V131" s="1"/>
      <c r="W131" s="1"/>
      <c r="X131" s="1"/>
    </row>
    <row r="132" spans="20:24">
      <c r="T132" s="1"/>
      <c r="U132" s="1"/>
      <c r="V132" s="1"/>
      <c r="W132" s="1"/>
      <c r="X132" s="1"/>
    </row>
    <row r="133" spans="20:24">
      <c r="T133" s="1"/>
      <c r="U133" s="1"/>
      <c r="V133" s="1"/>
      <c r="W133" s="1"/>
      <c r="X133" s="1"/>
    </row>
    <row r="134" spans="20:24">
      <c r="T134" s="1"/>
      <c r="U134" s="1"/>
      <c r="V134" s="1"/>
      <c r="W134" s="1"/>
      <c r="X134" s="1"/>
    </row>
    <row r="135" spans="20:24">
      <c r="T135" s="1"/>
      <c r="U135" s="1"/>
      <c r="V135" s="1"/>
      <c r="W135" s="1"/>
      <c r="X135" s="1"/>
    </row>
    <row r="136" spans="20:24">
      <c r="T136" s="1"/>
      <c r="U136" s="1"/>
      <c r="V136" s="1"/>
      <c r="W136" s="1"/>
      <c r="X136" s="1"/>
    </row>
    <row r="137" spans="20:24">
      <c r="T137" s="1"/>
      <c r="U137" s="1"/>
      <c r="V137" s="1"/>
      <c r="W137" s="1"/>
      <c r="X137" s="1"/>
    </row>
    <row r="138" spans="20:24">
      <c r="T138" s="1"/>
      <c r="U138" s="1"/>
      <c r="V138" s="1"/>
      <c r="W138" s="1"/>
      <c r="X138" s="1"/>
    </row>
    <row r="139" spans="20:24">
      <c r="T139" s="1"/>
      <c r="U139" s="1"/>
      <c r="V139" s="1"/>
      <c r="W139" s="1"/>
      <c r="X139" s="1"/>
    </row>
    <row r="140" spans="20:24">
      <c r="T140" s="1"/>
      <c r="U140" s="1"/>
      <c r="V140" s="1"/>
      <c r="W140" s="1"/>
      <c r="X140" s="1"/>
    </row>
    <row r="141" spans="20:24">
      <c r="T141" s="1"/>
      <c r="U141" s="1"/>
      <c r="V141" s="1"/>
      <c r="W141" s="1"/>
      <c r="X141" s="1"/>
    </row>
    <row r="142" spans="20:24">
      <c r="T142" s="1"/>
      <c r="U142" s="1"/>
      <c r="V142" s="1"/>
      <c r="W142" s="1"/>
      <c r="X142" s="1"/>
    </row>
    <row r="143" spans="20:24">
      <c r="T143" s="1"/>
      <c r="U143" s="1"/>
      <c r="V143" s="1"/>
      <c r="W143" s="1"/>
      <c r="X143" s="1"/>
    </row>
    <row r="144" spans="20:24">
      <c r="T144" s="1"/>
      <c r="U144" s="1"/>
      <c r="V144" s="1"/>
      <c r="W144" s="1"/>
      <c r="X144" s="1"/>
    </row>
    <row r="145" spans="20:24">
      <c r="T145" s="1"/>
      <c r="U145" s="1"/>
      <c r="V145" s="1"/>
      <c r="W145" s="1"/>
      <c r="X145" s="1"/>
    </row>
    <row r="146" spans="20:24">
      <c r="T146" s="1"/>
      <c r="U146" s="1"/>
      <c r="V146" s="1"/>
      <c r="W146" s="1"/>
      <c r="X146" s="1"/>
    </row>
    <row r="147" spans="20:24">
      <c r="T147" s="1"/>
      <c r="U147" s="1"/>
      <c r="V147" s="1"/>
      <c r="W147" s="1"/>
      <c r="X147" s="1"/>
    </row>
    <row r="148" spans="20:24">
      <c r="T148" s="1"/>
      <c r="U148" s="1"/>
      <c r="V148" s="1"/>
      <c r="W148" s="1"/>
      <c r="X148" s="1"/>
    </row>
    <row r="149" spans="20:24">
      <c r="T149" s="1"/>
      <c r="U149" s="1"/>
      <c r="V149" s="1"/>
      <c r="W149" s="1"/>
      <c r="X149" s="1"/>
    </row>
    <row r="150" spans="20:24">
      <c r="T150" s="1"/>
      <c r="U150" s="1"/>
      <c r="V150" s="1"/>
      <c r="W150" s="1"/>
      <c r="X150" s="1"/>
    </row>
    <row r="151" spans="20:24">
      <c r="T151" s="1"/>
      <c r="U151" s="1"/>
      <c r="V151" s="1"/>
      <c r="W151" s="1"/>
      <c r="X151" s="1"/>
    </row>
    <row r="152" spans="20:24">
      <c r="T152" s="1"/>
      <c r="U152" s="1"/>
      <c r="V152" s="1"/>
      <c r="W152" s="1"/>
      <c r="X152" s="1"/>
    </row>
    <row r="153" spans="20:24">
      <c r="T153" s="1"/>
      <c r="U153" s="1"/>
      <c r="V153" s="1"/>
      <c r="W153" s="1"/>
      <c r="X153" s="1"/>
    </row>
  </sheetData>
  <mergeCells count="2">
    <mergeCell ref="H40:H75"/>
    <mergeCell ref="H77:H112"/>
  </mergeCells>
  <pageMargins left="0.7" right="0.7" top="0.75" bottom="0.75" header="0.3" footer="0.3"/>
  <pageSetup paperSize="9" orientation="portrait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03155-99E8-6C47-BD1F-9CA93C9D7AC6}">
  <dimension ref="A1:AG153"/>
  <sheetViews>
    <sheetView tabSelected="1" zoomScaleNormal="100" workbookViewId="0">
      <selection activeCell="M13" sqref="M13"/>
    </sheetView>
  </sheetViews>
  <sheetFormatPr defaultColWidth="10.6640625" defaultRowHeight="15.7"/>
  <cols>
    <col min="19" max="19" width="13.1640625" customWidth="1"/>
    <col min="30" max="31" width="13.6640625" bestFit="1" customWidth="1"/>
  </cols>
  <sheetData>
    <row r="1" spans="1:33">
      <c r="A1" t="s">
        <v>45</v>
      </c>
      <c r="B1" t="s">
        <v>17</v>
      </c>
      <c r="C1" t="s">
        <v>23</v>
      </c>
      <c r="D1" t="s">
        <v>31</v>
      </c>
      <c r="E1" t="s">
        <v>21</v>
      </c>
      <c r="F1" t="s">
        <v>20</v>
      </c>
      <c r="G1" t="s">
        <v>19</v>
      </c>
      <c r="N1" s="13"/>
      <c r="O1" s="13"/>
      <c r="P1" s="21" t="s">
        <v>70</v>
      </c>
      <c r="Q1" s="13" t="s">
        <v>52</v>
      </c>
      <c r="R1" s="13" t="s">
        <v>51</v>
      </c>
      <c r="S1" s="13" t="s">
        <v>50</v>
      </c>
      <c r="T1" s="3"/>
      <c r="U1" s="3"/>
      <c r="V1" s="3"/>
      <c r="W1" s="3"/>
      <c r="X1" s="3"/>
      <c r="Y1" s="3"/>
      <c r="Z1" s="3"/>
      <c r="AA1" s="3"/>
      <c r="AB1" s="3"/>
      <c r="AC1" s="3"/>
      <c r="AD1" t="s">
        <v>49</v>
      </c>
      <c r="AE1" t="s">
        <v>48</v>
      </c>
    </row>
    <row r="2" spans="1:33" ht="18" customHeight="1">
      <c r="A2" t="s">
        <v>28</v>
      </c>
      <c r="B2">
        <f>Q7</f>
        <v>76615.360000000015</v>
      </c>
      <c r="C2">
        <f>Q2</f>
        <v>73300.540000000008</v>
      </c>
      <c r="D2">
        <f>Q3</f>
        <v>77672.160000000003</v>
      </c>
      <c r="E2">
        <f>Q4</f>
        <v>79731.5</v>
      </c>
      <c r="F2">
        <f>Q5</f>
        <v>80563.360000000015</v>
      </c>
      <c r="G2">
        <f>Q6</f>
        <v>82006.34</v>
      </c>
      <c r="N2" s="13" t="s">
        <v>43</v>
      </c>
      <c r="O2" s="13" t="s">
        <v>28</v>
      </c>
      <c r="P2" s="13" t="s">
        <v>23</v>
      </c>
      <c r="Q2" s="22">
        <f t="shared" ref="Q2:Q37" si="0">AVERAGE(T2:X2)</f>
        <v>73300.540000000008</v>
      </c>
      <c r="R2" s="22">
        <f t="shared" ref="R2:R37" si="1">AVERAGE(Y2:AC2)</f>
        <v>323.61400000000003</v>
      </c>
      <c r="S2" s="16">
        <f t="shared" ref="S2:S37" si="2">3000000/Q2</f>
        <v>40.927392895059157</v>
      </c>
      <c r="T2" s="2">
        <f t="shared" ref="T2:T37" si="3">C40</f>
        <v>72952</v>
      </c>
      <c r="U2" s="2">
        <f t="shared" ref="U2:U37" si="4">D40</f>
        <v>73545.399999999994</v>
      </c>
      <c r="V2" s="2">
        <f t="shared" ref="V2:V37" si="5">E40</f>
        <v>72916.7</v>
      </c>
      <c r="W2" s="2">
        <f t="shared" ref="W2:W37" si="6">F40</f>
        <v>73568.399999999994</v>
      </c>
      <c r="X2" s="2">
        <f t="shared" ref="X2:X37" si="7">G40</f>
        <v>73520.2</v>
      </c>
      <c r="Y2" s="2">
        <f t="shared" ref="Y2:Y37" si="8">C77</f>
        <v>321.52</v>
      </c>
      <c r="Z2" s="2">
        <f t="shared" ref="Z2:Z37" si="9">D77</f>
        <v>323.64</v>
      </c>
      <c r="AA2" s="2">
        <f t="shared" ref="AA2:AA37" si="10">E77</f>
        <v>319.33999999999997</v>
      </c>
      <c r="AB2" s="2">
        <f t="shared" ref="AB2:AB37" si="11">F77</f>
        <v>329.72</v>
      </c>
      <c r="AC2" s="2">
        <f t="shared" ref="AC2:AC37" si="12">G77</f>
        <v>323.85000000000002</v>
      </c>
      <c r="AD2" s="1">
        <f t="shared" ref="AD2:AD37" si="13">STDEV(T41:X41)</f>
        <v>1.0982409873029226</v>
      </c>
      <c r="AE2" s="1">
        <f t="shared" ref="AE2:AE37" si="14">STDEV(Y41:AC41)</f>
        <v>0.96817741142830316</v>
      </c>
      <c r="AF2" s="13" t="s">
        <v>23</v>
      </c>
      <c r="AG2" s="2"/>
    </row>
    <row r="3" spans="1:33">
      <c r="A3" t="s">
        <v>27</v>
      </c>
      <c r="B3">
        <f>Q13</f>
        <v>99529.1</v>
      </c>
      <c r="C3">
        <f>Q8</f>
        <v>98144.42</v>
      </c>
      <c r="D3">
        <f>Q9</f>
        <v>102288.8</v>
      </c>
      <c r="E3">
        <f>Q10</f>
        <v>104229</v>
      </c>
      <c r="F3">
        <f>Q11</f>
        <v>105233.2</v>
      </c>
      <c r="G3">
        <f>Q12</f>
        <v>108119.6</v>
      </c>
      <c r="H3" t="s">
        <v>47</v>
      </c>
      <c r="N3" s="13" t="s">
        <v>42</v>
      </c>
      <c r="O3" s="13" t="s">
        <v>28</v>
      </c>
      <c r="P3" s="13" t="s">
        <v>22</v>
      </c>
      <c r="Q3" s="22">
        <f t="shared" si="0"/>
        <v>77672.160000000003</v>
      </c>
      <c r="R3" s="22">
        <f t="shared" si="1"/>
        <v>214.42200000000003</v>
      </c>
      <c r="S3" s="16">
        <f t="shared" si="2"/>
        <v>38.623877590117232</v>
      </c>
      <c r="T3" s="2">
        <f t="shared" si="3"/>
        <v>78244.2</v>
      </c>
      <c r="U3" s="2">
        <f t="shared" si="4"/>
        <v>78231.100000000006</v>
      </c>
      <c r="V3" s="2">
        <f t="shared" si="5"/>
        <v>77276</v>
      </c>
      <c r="W3" s="2">
        <f t="shared" si="6"/>
        <v>77338.5</v>
      </c>
      <c r="X3" s="2">
        <f t="shared" si="7"/>
        <v>77271</v>
      </c>
      <c r="Y3" s="2">
        <f t="shared" si="8"/>
        <v>214.22</v>
      </c>
      <c r="Z3" s="2">
        <f t="shared" si="9"/>
        <v>219.3</v>
      </c>
      <c r="AA3" s="2">
        <f t="shared" si="10"/>
        <v>213.49</v>
      </c>
      <c r="AB3" s="2">
        <f t="shared" si="11"/>
        <v>206.1</v>
      </c>
      <c r="AC3" s="2">
        <f t="shared" si="12"/>
        <v>219</v>
      </c>
      <c r="AD3" s="1">
        <f t="shared" si="13"/>
        <v>0.81578807323201374</v>
      </c>
      <c r="AE3" s="1">
        <f t="shared" si="14"/>
        <v>1.3399981343270606</v>
      </c>
      <c r="AF3" s="13" t="s">
        <v>22</v>
      </c>
      <c r="AG3" s="2"/>
    </row>
    <row r="4" spans="1:33">
      <c r="A4" t="s">
        <v>26</v>
      </c>
      <c r="B4">
        <f>Q19</f>
        <v>82262.259999999995</v>
      </c>
      <c r="C4">
        <f>Q14</f>
        <v>81276.78</v>
      </c>
      <c r="D4">
        <f>Q15</f>
        <v>85806.819999999992</v>
      </c>
      <c r="E4">
        <f>Q16</f>
        <v>85715.56</v>
      </c>
      <c r="F4">
        <f>Q17</f>
        <v>87333</v>
      </c>
      <c r="G4">
        <f>Q18</f>
        <v>88998.319999999992</v>
      </c>
      <c r="N4" s="13"/>
      <c r="O4" s="13" t="s">
        <v>28</v>
      </c>
      <c r="P4" s="13" t="s">
        <v>21</v>
      </c>
      <c r="Q4" s="22">
        <f t="shared" si="0"/>
        <v>79731.5</v>
      </c>
      <c r="R4" s="22">
        <f t="shared" si="1"/>
        <v>236.666</v>
      </c>
      <c r="S4" s="16">
        <f t="shared" si="2"/>
        <v>37.626283213033744</v>
      </c>
      <c r="T4" s="2">
        <f t="shared" si="3"/>
        <v>79530.7</v>
      </c>
      <c r="U4" s="2">
        <f t="shared" si="4"/>
        <v>79758.5</v>
      </c>
      <c r="V4" s="2">
        <f t="shared" si="5"/>
        <v>79026.100000000006</v>
      </c>
      <c r="W4" s="2">
        <f t="shared" si="6"/>
        <v>79519.7</v>
      </c>
      <c r="X4" s="2">
        <f t="shared" si="7"/>
        <v>80822.5</v>
      </c>
      <c r="Y4" s="2">
        <f t="shared" si="8"/>
        <v>231.01</v>
      </c>
      <c r="Z4" s="2">
        <f t="shared" si="9"/>
        <v>240.07</v>
      </c>
      <c r="AA4" s="2">
        <f t="shared" si="10"/>
        <v>243.32</v>
      </c>
      <c r="AB4" s="2">
        <f t="shared" si="11"/>
        <v>235.29</v>
      </c>
      <c r="AC4" s="2">
        <f t="shared" si="12"/>
        <v>233.64</v>
      </c>
      <c r="AD4" s="1">
        <f t="shared" si="13"/>
        <v>1.4027480467015359</v>
      </c>
      <c r="AE4" s="1">
        <f t="shared" si="14"/>
        <v>1.2431268539453249</v>
      </c>
      <c r="AF4" s="13" t="s">
        <v>21</v>
      </c>
      <c r="AG4" s="2"/>
    </row>
    <row r="5" spans="1:33">
      <c r="A5" t="s">
        <v>25</v>
      </c>
      <c r="B5">
        <f>Q25</f>
        <v>225341.4</v>
      </c>
      <c r="C5">
        <f>Q20</f>
        <v>219740.2</v>
      </c>
      <c r="D5">
        <f>Q21</f>
        <v>229637</v>
      </c>
      <c r="E5">
        <f>Q22</f>
        <v>232930.4</v>
      </c>
      <c r="F5">
        <f>Q23</f>
        <v>237184.2</v>
      </c>
      <c r="G5">
        <f>Q24</f>
        <v>240696.6</v>
      </c>
      <c r="N5" s="13"/>
      <c r="O5" s="13" t="s">
        <v>28</v>
      </c>
      <c r="P5" s="13" t="s">
        <v>20</v>
      </c>
      <c r="Q5" s="22">
        <f t="shared" si="0"/>
        <v>80563.360000000015</v>
      </c>
      <c r="R5" s="22">
        <f t="shared" si="1"/>
        <v>215.45999999999998</v>
      </c>
      <c r="S5" s="16">
        <f t="shared" si="2"/>
        <v>37.237771612306133</v>
      </c>
      <c r="T5" s="2">
        <f t="shared" si="3"/>
        <v>80962.899999999994</v>
      </c>
      <c r="U5" s="2">
        <f t="shared" si="4"/>
        <v>81076.800000000003</v>
      </c>
      <c r="V5" s="2">
        <f t="shared" si="5"/>
        <v>81121.3</v>
      </c>
      <c r="W5" s="2">
        <f t="shared" si="6"/>
        <v>79965.899999999994</v>
      </c>
      <c r="X5" s="2">
        <f t="shared" si="7"/>
        <v>79689.899999999994</v>
      </c>
      <c r="Y5" s="2">
        <f t="shared" si="8"/>
        <v>211.27</v>
      </c>
      <c r="Z5" s="2">
        <f t="shared" si="9"/>
        <v>217.3</v>
      </c>
      <c r="AA5" s="2">
        <f t="shared" si="10"/>
        <v>217.56</v>
      </c>
      <c r="AB5" s="2">
        <f t="shared" si="11"/>
        <v>213.82</v>
      </c>
      <c r="AC5" s="2">
        <f t="shared" si="12"/>
        <v>217.35</v>
      </c>
      <c r="AD5" s="1">
        <f t="shared" si="13"/>
        <v>0.46261938948637982</v>
      </c>
      <c r="AE5" s="1">
        <f t="shared" si="14"/>
        <v>0.70282243490087837</v>
      </c>
      <c r="AF5" s="13" t="s">
        <v>20</v>
      </c>
      <c r="AG5" s="2"/>
    </row>
    <row r="6" spans="1:33">
      <c r="A6" t="s">
        <v>24</v>
      </c>
      <c r="B6">
        <f>Q31</f>
        <v>9733.6459999999988</v>
      </c>
      <c r="C6">
        <f>Q26</f>
        <v>9587.0300000000007</v>
      </c>
      <c r="D6">
        <f>Q27</f>
        <v>9901.4959999999992</v>
      </c>
      <c r="E6">
        <f>Q28</f>
        <v>9809.1039999999994</v>
      </c>
      <c r="F6">
        <f>Q29</f>
        <v>10183.68</v>
      </c>
      <c r="G6">
        <f>Q30</f>
        <v>10387.619999999999</v>
      </c>
      <c r="N6" s="13"/>
      <c r="O6" s="13" t="s">
        <v>28</v>
      </c>
      <c r="P6" s="13" t="s">
        <v>19</v>
      </c>
      <c r="Q6" s="22">
        <f t="shared" si="0"/>
        <v>82006.34</v>
      </c>
      <c r="R6" s="22">
        <f t="shared" si="1"/>
        <v>309.71999999999997</v>
      </c>
      <c r="S6" s="16">
        <f t="shared" si="2"/>
        <v>36.582537398937696</v>
      </c>
      <c r="T6" s="2">
        <f t="shared" si="3"/>
        <v>81765.7</v>
      </c>
      <c r="U6" s="2">
        <f t="shared" si="4"/>
        <v>82356.3</v>
      </c>
      <c r="V6" s="2">
        <f t="shared" si="5"/>
        <v>81123.7</v>
      </c>
      <c r="W6" s="2">
        <f t="shared" si="6"/>
        <v>82421.2</v>
      </c>
      <c r="X6" s="2">
        <f t="shared" si="7"/>
        <v>82364.800000000003</v>
      </c>
      <c r="Y6" s="2">
        <f t="shared" si="8"/>
        <v>300.08999999999997</v>
      </c>
      <c r="Z6" s="2">
        <f t="shared" si="9"/>
        <v>311.43</v>
      </c>
      <c r="AA6" s="2">
        <f t="shared" si="10"/>
        <v>318.32</v>
      </c>
      <c r="AB6" s="2">
        <f t="shared" si="11"/>
        <v>323.14</v>
      </c>
      <c r="AC6" s="2">
        <f t="shared" si="12"/>
        <v>295.62</v>
      </c>
      <c r="AD6" s="1">
        <f t="shared" si="13"/>
        <v>1.4605200478526859</v>
      </c>
      <c r="AE6" s="1">
        <f t="shared" si="14"/>
        <v>2.9275827272683514</v>
      </c>
      <c r="AF6" s="13" t="s">
        <v>19</v>
      </c>
      <c r="AG6" s="2"/>
    </row>
    <row r="7" spans="1:33">
      <c r="A7" t="s">
        <v>18</v>
      </c>
      <c r="B7">
        <f>Q37</f>
        <v>72488.2</v>
      </c>
      <c r="C7">
        <f>Q32</f>
        <v>69513.56</v>
      </c>
      <c r="D7">
        <f>Q33</f>
        <v>73669.38</v>
      </c>
      <c r="E7">
        <f>Q34</f>
        <v>75006.75999999998</v>
      </c>
      <c r="F7">
        <f>Q35</f>
        <v>76304.600000000006</v>
      </c>
      <c r="G7">
        <f>Q36</f>
        <v>77387.840000000011</v>
      </c>
      <c r="N7" s="18">
        <f>MAX(S2:S7)</f>
        <v>40.927392895059157</v>
      </c>
      <c r="O7" s="13" t="s">
        <v>28</v>
      </c>
      <c r="P7" s="13" t="s">
        <v>17</v>
      </c>
      <c r="Q7" s="22">
        <f t="shared" si="0"/>
        <v>76615.360000000015</v>
      </c>
      <c r="R7" s="22">
        <f t="shared" si="1"/>
        <v>142.95599999999999</v>
      </c>
      <c r="S7" s="16">
        <f t="shared" si="2"/>
        <v>39.156639086470385</v>
      </c>
      <c r="T7" s="2">
        <f t="shared" si="3"/>
        <v>76929.899999999994</v>
      </c>
      <c r="U7" s="2">
        <f t="shared" si="4"/>
        <v>76794.5</v>
      </c>
      <c r="V7" s="2">
        <f t="shared" si="5"/>
        <v>77261.8</v>
      </c>
      <c r="W7" s="2">
        <f t="shared" si="6"/>
        <v>75786.2</v>
      </c>
      <c r="X7" s="2">
        <f t="shared" si="7"/>
        <v>76304.399999999994</v>
      </c>
      <c r="Y7" s="2">
        <f t="shared" si="8"/>
        <v>142.16999999999999</v>
      </c>
      <c r="Z7" s="2">
        <f t="shared" si="9"/>
        <v>143.28</v>
      </c>
      <c r="AA7" s="2">
        <f t="shared" si="10"/>
        <v>141.33000000000001</v>
      </c>
      <c r="AB7" s="2">
        <f t="shared" si="11"/>
        <v>147.58000000000001</v>
      </c>
      <c r="AC7" s="2">
        <f t="shared" si="12"/>
        <v>140.41999999999999</v>
      </c>
      <c r="AD7" s="1">
        <f t="shared" si="13"/>
        <v>0</v>
      </c>
      <c r="AE7" s="1">
        <f t="shared" si="14"/>
        <v>0.69798056921378726</v>
      </c>
      <c r="AF7" s="13" t="s">
        <v>17</v>
      </c>
      <c r="AG7" s="2"/>
    </row>
    <row r="8" spans="1:33">
      <c r="N8" s="13" t="s">
        <v>43</v>
      </c>
      <c r="O8" s="13" t="s">
        <v>27</v>
      </c>
      <c r="P8" s="13" t="s">
        <v>23</v>
      </c>
      <c r="Q8" s="22">
        <f t="shared" si="0"/>
        <v>98144.42</v>
      </c>
      <c r="R8" s="22">
        <f t="shared" si="1"/>
        <v>335.41800000000001</v>
      </c>
      <c r="S8" s="16">
        <f t="shared" si="2"/>
        <v>30.567198828012842</v>
      </c>
      <c r="T8" s="2">
        <f t="shared" si="3"/>
        <v>98176.7</v>
      </c>
      <c r="U8" s="2">
        <f t="shared" si="4"/>
        <v>98107.1</v>
      </c>
      <c r="V8" s="2">
        <f t="shared" si="5"/>
        <v>98536.8</v>
      </c>
      <c r="W8" s="2">
        <f t="shared" si="6"/>
        <v>98239.8</v>
      </c>
      <c r="X8" s="2">
        <f t="shared" si="7"/>
        <v>97661.7</v>
      </c>
      <c r="Y8" s="2">
        <f t="shared" si="8"/>
        <v>336.21</v>
      </c>
      <c r="Z8" s="2">
        <f t="shared" si="9"/>
        <v>326.83999999999997</v>
      </c>
      <c r="AA8" s="2">
        <f t="shared" si="10"/>
        <v>338.92</v>
      </c>
      <c r="AB8" s="2">
        <f t="shared" si="11"/>
        <v>328.04</v>
      </c>
      <c r="AC8" s="2">
        <f t="shared" si="12"/>
        <v>347.08</v>
      </c>
      <c r="AD8" s="1">
        <f t="shared" si="13"/>
        <v>0.30972766895285719</v>
      </c>
      <c r="AE8" s="1">
        <f t="shared" si="14"/>
        <v>2.0800784240023251</v>
      </c>
      <c r="AF8" s="13" t="s">
        <v>23</v>
      </c>
      <c r="AG8" s="2"/>
    </row>
    <row r="9" spans="1:33">
      <c r="A9" t="s">
        <v>32</v>
      </c>
      <c r="N9" s="13" t="s">
        <v>42</v>
      </c>
      <c r="O9" s="13" t="s">
        <v>27</v>
      </c>
      <c r="P9" s="13" t="s">
        <v>22</v>
      </c>
      <c r="Q9" s="22">
        <f t="shared" si="0"/>
        <v>102288.8</v>
      </c>
      <c r="R9" s="22">
        <f t="shared" si="1"/>
        <v>198.13</v>
      </c>
      <c r="S9" s="16">
        <f t="shared" si="2"/>
        <v>29.328724161394014</v>
      </c>
      <c r="T9" s="2">
        <f t="shared" si="3"/>
        <v>102576</v>
      </c>
      <c r="U9" s="2">
        <f t="shared" si="4"/>
        <v>102578</v>
      </c>
      <c r="V9" s="2">
        <f t="shared" si="5"/>
        <v>102409</v>
      </c>
      <c r="W9" s="2">
        <f t="shared" si="6"/>
        <v>102504</v>
      </c>
      <c r="X9" s="2">
        <f t="shared" si="7"/>
        <v>101377</v>
      </c>
      <c r="Y9" s="2">
        <f t="shared" si="8"/>
        <v>200.98</v>
      </c>
      <c r="Z9" s="2">
        <f t="shared" si="9"/>
        <v>201.13</v>
      </c>
      <c r="AA9" s="2">
        <f t="shared" si="10"/>
        <v>194.54</v>
      </c>
      <c r="AB9" s="2">
        <f t="shared" si="11"/>
        <v>192.71</v>
      </c>
      <c r="AC9" s="2">
        <f t="shared" si="12"/>
        <v>201.29</v>
      </c>
      <c r="AD9" s="1">
        <f t="shared" si="13"/>
        <v>0.46903303485448122</v>
      </c>
      <c r="AE9" s="1">
        <f t="shared" si="14"/>
        <v>1.0411276938973419</v>
      </c>
      <c r="AF9" s="13" t="s">
        <v>22</v>
      </c>
      <c r="AG9" s="2"/>
    </row>
    <row r="10" spans="1:33">
      <c r="A10" t="s">
        <v>45</v>
      </c>
      <c r="B10" t="s">
        <v>17</v>
      </c>
      <c r="C10" t="s">
        <v>23</v>
      </c>
      <c r="D10" t="s">
        <v>31</v>
      </c>
      <c r="E10" t="s">
        <v>21</v>
      </c>
      <c r="F10" t="s">
        <v>20</v>
      </c>
      <c r="G10" t="s">
        <v>19</v>
      </c>
      <c r="N10" s="13"/>
      <c r="O10" s="13" t="s">
        <v>27</v>
      </c>
      <c r="P10" s="13" t="s">
        <v>21</v>
      </c>
      <c r="Q10" s="22">
        <f t="shared" si="0"/>
        <v>104229</v>
      </c>
      <c r="R10" s="22">
        <f t="shared" si="1"/>
        <v>209.44800000000001</v>
      </c>
      <c r="S10" s="16">
        <f t="shared" si="2"/>
        <v>28.782776386610252</v>
      </c>
      <c r="T10" s="2">
        <f t="shared" si="3"/>
        <v>105218</v>
      </c>
      <c r="U10" s="2">
        <f t="shared" si="4"/>
        <v>105022</v>
      </c>
      <c r="V10" s="2">
        <f t="shared" si="5"/>
        <v>103772</v>
      </c>
      <c r="W10" s="2">
        <f t="shared" si="6"/>
        <v>103240</v>
      </c>
      <c r="X10" s="2">
        <f t="shared" si="7"/>
        <v>103893</v>
      </c>
      <c r="Y10" s="2">
        <f t="shared" si="8"/>
        <v>209.86</v>
      </c>
      <c r="Z10" s="2">
        <f t="shared" si="9"/>
        <v>214.7</v>
      </c>
      <c r="AA10" s="2">
        <f t="shared" si="10"/>
        <v>204.51</v>
      </c>
      <c r="AB10" s="2">
        <f t="shared" si="11"/>
        <v>204.27</v>
      </c>
      <c r="AC10" s="2">
        <f t="shared" si="12"/>
        <v>213.9</v>
      </c>
      <c r="AD10" s="1">
        <f t="shared" si="13"/>
        <v>0.90436445429057277</v>
      </c>
      <c r="AE10" s="1">
        <f t="shared" si="14"/>
        <v>1.2422829287243702</v>
      </c>
      <c r="AF10" s="13" t="s">
        <v>21</v>
      </c>
      <c r="AG10" s="2"/>
    </row>
    <row r="11" spans="1:33">
      <c r="A11" t="s">
        <v>28</v>
      </c>
      <c r="B11" s="12">
        <f t="shared" ref="B11:G16" si="15">B2/$B2*100</f>
        <v>100</v>
      </c>
      <c r="C11" s="12">
        <f t="shared" si="15"/>
        <v>95.673426320779527</v>
      </c>
      <c r="D11" s="12">
        <f t="shared" si="15"/>
        <v>101.37935787288606</v>
      </c>
      <c r="E11" s="12">
        <f t="shared" si="15"/>
        <v>104.06725231076376</v>
      </c>
      <c r="F11" s="12">
        <f t="shared" si="15"/>
        <v>105.15301370377949</v>
      </c>
      <c r="G11" s="12">
        <f t="shared" si="15"/>
        <v>107.03642193941265</v>
      </c>
      <c r="N11" s="13"/>
      <c r="O11" s="13" t="s">
        <v>27</v>
      </c>
      <c r="P11" s="13" t="s">
        <v>20</v>
      </c>
      <c r="Q11" s="22">
        <f t="shared" si="0"/>
        <v>105233.2</v>
      </c>
      <c r="R11" s="22">
        <f t="shared" si="1"/>
        <v>183.42400000000004</v>
      </c>
      <c r="S11" s="16">
        <f t="shared" si="2"/>
        <v>28.508113409076223</v>
      </c>
      <c r="T11" s="2">
        <f t="shared" si="3"/>
        <v>104916</v>
      </c>
      <c r="U11" s="2">
        <f t="shared" si="4"/>
        <v>104943</v>
      </c>
      <c r="V11" s="2">
        <f t="shared" si="5"/>
        <v>105565</v>
      </c>
      <c r="W11" s="2">
        <f t="shared" si="6"/>
        <v>105856</v>
      </c>
      <c r="X11" s="2">
        <f t="shared" si="7"/>
        <v>104886</v>
      </c>
      <c r="Y11" s="2">
        <f t="shared" si="8"/>
        <v>186.24</v>
      </c>
      <c r="Z11" s="2">
        <f t="shared" si="9"/>
        <v>178.43</v>
      </c>
      <c r="AA11" s="2">
        <f t="shared" si="10"/>
        <v>191.2</v>
      </c>
      <c r="AB11" s="2">
        <f t="shared" si="11"/>
        <v>180.56</v>
      </c>
      <c r="AC11" s="2">
        <f t="shared" si="12"/>
        <v>180.69</v>
      </c>
      <c r="AD11" s="1">
        <f t="shared" si="13"/>
        <v>0.39054265565029345</v>
      </c>
      <c r="AE11" s="1">
        <f t="shared" si="14"/>
        <v>1.305118050216147</v>
      </c>
      <c r="AF11" s="13" t="s">
        <v>20</v>
      </c>
      <c r="AG11" s="2"/>
    </row>
    <row r="12" spans="1:33">
      <c r="A12" t="s">
        <v>27</v>
      </c>
      <c r="B12" s="12">
        <f t="shared" si="15"/>
        <v>100</v>
      </c>
      <c r="C12" s="12">
        <f t="shared" si="15"/>
        <v>98.608768691769527</v>
      </c>
      <c r="D12" s="12">
        <f t="shared" si="15"/>
        <v>102.77275691230001</v>
      </c>
      <c r="E12" s="12">
        <f t="shared" si="15"/>
        <v>104.72213654097142</v>
      </c>
      <c r="F12" s="12">
        <f t="shared" si="15"/>
        <v>105.73108769194135</v>
      </c>
      <c r="G12" s="12">
        <f t="shared" si="15"/>
        <v>108.63114405736613</v>
      </c>
      <c r="N12" s="13"/>
      <c r="O12" s="13" t="s">
        <v>27</v>
      </c>
      <c r="P12" s="13" t="s">
        <v>19</v>
      </c>
      <c r="Q12" s="22">
        <f t="shared" si="0"/>
        <v>108119.6</v>
      </c>
      <c r="R12" s="22">
        <f t="shared" si="1"/>
        <v>320.78000000000003</v>
      </c>
      <c r="S12" s="16">
        <f t="shared" si="2"/>
        <v>27.747050488533066</v>
      </c>
      <c r="T12" s="2">
        <f t="shared" si="3"/>
        <v>108386</v>
      </c>
      <c r="U12" s="2">
        <f t="shared" si="4"/>
        <v>108183</v>
      </c>
      <c r="V12" s="2">
        <f t="shared" si="5"/>
        <v>107998</v>
      </c>
      <c r="W12" s="2">
        <f t="shared" si="6"/>
        <v>107821</v>
      </c>
      <c r="X12" s="2">
        <f t="shared" si="7"/>
        <v>108210</v>
      </c>
      <c r="Y12" s="2">
        <f t="shared" si="8"/>
        <v>301.88</v>
      </c>
      <c r="Z12" s="2">
        <f t="shared" si="9"/>
        <v>328.62</v>
      </c>
      <c r="AA12" s="2">
        <f t="shared" si="10"/>
        <v>330.17</v>
      </c>
      <c r="AB12" s="2">
        <f t="shared" si="11"/>
        <v>311.45999999999998</v>
      </c>
      <c r="AC12" s="2">
        <f t="shared" si="12"/>
        <v>331.77</v>
      </c>
      <c r="AD12" s="1">
        <f t="shared" si="13"/>
        <v>0.32505396842094947</v>
      </c>
      <c r="AE12" s="1">
        <f t="shared" si="14"/>
        <v>3.3412436868627235</v>
      </c>
      <c r="AF12" s="13" t="s">
        <v>19</v>
      </c>
      <c r="AG12" s="2"/>
    </row>
    <row r="13" spans="1:33">
      <c r="A13" t="s">
        <v>26</v>
      </c>
      <c r="B13" s="12">
        <f t="shared" si="15"/>
        <v>100</v>
      </c>
      <c r="C13" s="12">
        <f t="shared" si="15"/>
        <v>98.802026591537853</v>
      </c>
      <c r="D13" s="12">
        <f t="shared" si="15"/>
        <v>104.30885317276719</v>
      </c>
      <c r="E13" s="12">
        <f t="shared" si="15"/>
        <v>104.19791530162192</v>
      </c>
      <c r="F13" s="12">
        <f t="shared" si="15"/>
        <v>106.16411462558895</v>
      </c>
      <c r="G13" s="12">
        <f t="shared" si="15"/>
        <v>108.18851803974266</v>
      </c>
      <c r="H13" s="12"/>
      <c r="I13" s="12"/>
      <c r="J13" s="12"/>
      <c r="K13" s="12"/>
      <c r="L13" s="12"/>
      <c r="M13" s="12"/>
      <c r="N13" s="18">
        <f>MAX(S8:S13)</f>
        <v>30.567198828012842</v>
      </c>
      <c r="O13" s="13" t="s">
        <v>27</v>
      </c>
      <c r="P13" s="13" t="s">
        <v>17</v>
      </c>
      <c r="Q13" s="22">
        <f t="shared" si="0"/>
        <v>99529.1</v>
      </c>
      <c r="R13" s="22">
        <f t="shared" si="1"/>
        <v>117.80999999999999</v>
      </c>
      <c r="S13" s="16">
        <f t="shared" si="2"/>
        <v>30.141938387868471</v>
      </c>
      <c r="T13" s="2">
        <f t="shared" si="3"/>
        <v>99423.4</v>
      </c>
      <c r="U13" s="2">
        <f t="shared" si="4"/>
        <v>99627.5</v>
      </c>
      <c r="V13" s="2">
        <f t="shared" si="5"/>
        <v>99479.2</v>
      </c>
      <c r="W13" s="2">
        <f t="shared" si="6"/>
        <v>99691.3</v>
      </c>
      <c r="X13" s="2">
        <f t="shared" si="7"/>
        <v>99424.1</v>
      </c>
      <c r="Y13" s="2">
        <f t="shared" si="8"/>
        <v>122.43</v>
      </c>
      <c r="Z13" s="2">
        <f t="shared" si="9"/>
        <v>114.57</v>
      </c>
      <c r="AA13" s="2">
        <f t="shared" si="10"/>
        <v>116.14</v>
      </c>
      <c r="AB13" s="2">
        <f t="shared" si="11"/>
        <v>118.23</v>
      </c>
      <c r="AC13" s="2">
        <f t="shared" si="12"/>
        <v>117.68</v>
      </c>
      <c r="AD13" s="1">
        <f t="shared" si="13"/>
        <v>0</v>
      </c>
      <c r="AE13" s="1">
        <f t="shared" si="14"/>
        <v>0.73765040839140161</v>
      </c>
      <c r="AF13" s="13" t="s">
        <v>17</v>
      </c>
      <c r="AG13" s="2"/>
    </row>
    <row r="14" spans="1:33">
      <c r="A14" t="s">
        <v>25</v>
      </c>
      <c r="B14" s="12">
        <f t="shared" si="15"/>
        <v>100</v>
      </c>
      <c r="C14" s="12">
        <f t="shared" si="15"/>
        <v>97.514349338381678</v>
      </c>
      <c r="D14" s="12">
        <f t="shared" si="15"/>
        <v>101.90626311898303</v>
      </c>
      <c r="E14" s="12">
        <f t="shared" si="15"/>
        <v>103.36777884578687</v>
      </c>
      <c r="F14" s="12">
        <f t="shared" si="15"/>
        <v>105.25549233296678</v>
      </c>
      <c r="G14" s="12">
        <f t="shared" si="15"/>
        <v>106.81419392974394</v>
      </c>
      <c r="H14" s="12"/>
      <c r="I14" s="12"/>
      <c r="J14" s="12"/>
      <c r="K14" s="12"/>
      <c r="L14" s="12"/>
      <c r="M14" s="12"/>
      <c r="N14" s="13" t="s">
        <v>43</v>
      </c>
      <c r="O14" s="13" t="s">
        <v>26</v>
      </c>
      <c r="P14" s="13" t="s">
        <v>23</v>
      </c>
      <c r="Q14" s="22">
        <f t="shared" si="0"/>
        <v>81276.78</v>
      </c>
      <c r="R14" s="22">
        <f t="shared" si="1"/>
        <v>342.00399999999996</v>
      </c>
      <c r="S14" s="16">
        <f t="shared" si="2"/>
        <v>36.910911086782718</v>
      </c>
      <c r="T14" s="2">
        <f t="shared" si="3"/>
        <v>81551.8</v>
      </c>
      <c r="U14" s="2">
        <f t="shared" si="4"/>
        <v>81559.399999999994</v>
      </c>
      <c r="V14" s="2">
        <f t="shared" si="5"/>
        <v>81211.600000000006</v>
      </c>
      <c r="W14" s="2">
        <f t="shared" si="6"/>
        <v>81025.2</v>
      </c>
      <c r="X14" s="2">
        <f t="shared" si="7"/>
        <v>81035.899999999994</v>
      </c>
      <c r="Y14" s="2">
        <f t="shared" si="8"/>
        <v>348.77</v>
      </c>
      <c r="Z14" s="2">
        <f t="shared" si="9"/>
        <v>356.32</v>
      </c>
      <c r="AA14" s="2">
        <f t="shared" si="10"/>
        <v>332.79</v>
      </c>
      <c r="AB14" s="2">
        <f t="shared" si="11"/>
        <v>335.83</v>
      </c>
      <c r="AC14" s="2">
        <f t="shared" si="12"/>
        <v>336.31</v>
      </c>
      <c r="AD14" s="1">
        <f t="shared" si="13"/>
        <v>0.28203618318990581</v>
      </c>
      <c r="AE14" s="1">
        <f t="shared" si="14"/>
        <v>2.5191898499319159</v>
      </c>
      <c r="AF14" s="13" t="s">
        <v>23</v>
      </c>
      <c r="AG14" s="2"/>
    </row>
    <row r="15" spans="1:33">
      <c r="A15" t="s">
        <v>24</v>
      </c>
      <c r="B15" s="12">
        <f t="shared" si="15"/>
        <v>100</v>
      </c>
      <c r="C15" s="12">
        <f t="shared" si="15"/>
        <v>98.49371961955471</v>
      </c>
      <c r="D15" s="12">
        <f t="shared" si="15"/>
        <v>101.72443090697978</v>
      </c>
      <c r="E15" s="12">
        <f t="shared" si="15"/>
        <v>100.77522852176872</v>
      </c>
      <c r="F15" s="12">
        <f t="shared" si="15"/>
        <v>104.62348846465139</v>
      </c>
      <c r="G15" s="12">
        <f t="shared" si="15"/>
        <v>106.7186951323276</v>
      </c>
      <c r="H15" s="12" t="s">
        <v>29</v>
      </c>
      <c r="I15" s="12"/>
      <c r="J15" s="12"/>
      <c r="K15" s="12"/>
      <c r="L15" s="12"/>
      <c r="M15" s="12"/>
      <c r="N15" s="13"/>
      <c r="O15" s="13" t="s">
        <v>26</v>
      </c>
      <c r="P15" s="13" t="s">
        <v>22</v>
      </c>
      <c r="Q15" s="22">
        <f t="shared" si="0"/>
        <v>85806.819999999992</v>
      </c>
      <c r="R15" s="22">
        <f t="shared" si="1"/>
        <v>193.54599999999999</v>
      </c>
      <c r="S15" s="16">
        <f t="shared" si="2"/>
        <v>34.962255913923862</v>
      </c>
      <c r="T15" s="2">
        <f t="shared" si="3"/>
        <v>86215.3</v>
      </c>
      <c r="U15" s="2">
        <f t="shared" si="4"/>
        <v>85455.5</v>
      </c>
      <c r="V15" s="2">
        <f t="shared" si="5"/>
        <v>86099</v>
      </c>
      <c r="W15" s="2">
        <f t="shared" si="6"/>
        <v>85855.3</v>
      </c>
      <c r="X15" s="2">
        <f t="shared" si="7"/>
        <v>85409</v>
      </c>
      <c r="Y15" s="2">
        <f t="shared" si="8"/>
        <v>190.89</v>
      </c>
      <c r="Z15" s="2">
        <f t="shared" si="9"/>
        <v>189.51</v>
      </c>
      <c r="AA15" s="2">
        <f t="shared" si="10"/>
        <v>197.84</v>
      </c>
      <c r="AB15" s="2">
        <f t="shared" si="11"/>
        <v>195.52</v>
      </c>
      <c r="AC15" s="2">
        <f t="shared" si="12"/>
        <v>193.97</v>
      </c>
      <c r="AD15" s="1">
        <f t="shared" si="13"/>
        <v>0.56274508912625376</v>
      </c>
      <c r="AE15" s="1">
        <f t="shared" si="14"/>
        <v>0.84648648837415197</v>
      </c>
      <c r="AF15" s="13" t="s">
        <v>22</v>
      </c>
      <c r="AG15" s="2"/>
    </row>
    <row r="16" spans="1:33">
      <c r="A16" t="s">
        <v>18</v>
      </c>
      <c r="B16" s="12">
        <f t="shared" si="15"/>
        <v>100</v>
      </c>
      <c r="C16" s="12">
        <f t="shared" si="15"/>
        <v>95.896380376392301</v>
      </c>
      <c r="D16" s="12">
        <f t="shared" si="15"/>
        <v>101.62947900485872</v>
      </c>
      <c r="E16" s="12">
        <f t="shared" si="15"/>
        <v>103.47444135735194</v>
      </c>
      <c r="F16" s="12">
        <f t="shared" si="15"/>
        <v>105.26485690084732</v>
      </c>
      <c r="G16" s="12">
        <f t="shared" si="15"/>
        <v>106.75922425994852</v>
      </c>
      <c r="H16" s="12"/>
      <c r="I16" s="12"/>
      <c r="J16" s="12"/>
      <c r="K16" s="12"/>
      <c r="L16" s="12"/>
      <c r="M16" s="12"/>
      <c r="N16" s="13"/>
      <c r="O16" s="13" t="s">
        <v>26</v>
      </c>
      <c r="P16" s="13" t="s">
        <v>21</v>
      </c>
      <c r="Q16" s="22">
        <f t="shared" si="0"/>
        <v>85715.56</v>
      </c>
      <c r="R16" s="22">
        <f t="shared" si="1"/>
        <v>198.58599999999996</v>
      </c>
      <c r="S16" s="16">
        <f t="shared" si="2"/>
        <v>34.999479674402174</v>
      </c>
      <c r="T16" s="2">
        <f t="shared" si="3"/>
        <v>85874.8</v>
      </c>
      <c r="U16" s="2">
        <f t="shared" si="4"/>
        <v>86441</v>
      </c>
      <c r="V16" s="2">
        <f t="shared" si="5"/>
        <v>85425.7</v>
      </c>
      <c r="W16" s="2">
        <f t="shared" si="6"/>
        <v>85404.5</v>
      </c>
      <c r="X16" s="2">
        <f t="shared" si="7"/>
        <v>85431.8</v>
      </c>
      <c r="Y16" s="2">
        <f t="shared" si="8"/>
        <v>205.33</v>
      </c>
      <c r="Z16" s="2">
        <f t="shared" si="9"/>
        <v>206.17</v>
      </c>
      <c r="AA16" s="2">
        <f t="shared" si="10"/>
        <v>193.56</v>
      </c>
      <c r="AB16" s="2">
        <f t="shared" si="11"/>
        <v>194.3</v>
      </c>
      <c r="AC16" s="2">
        <f t="shared" si="12"/>
        <v>193.57</v>
      </c>
      <c r="AD16" s="1">
        <f t="shared" si="13"/>
        <v>0.47738460599648158</v>
      </c>
      <c r="AE16" s="1">
        <f t="shared" si="14"/>
        <v>1.6383553109750031</v>
      </c>
      <c r="AF16" s="13" t="s">
        <v>21</v>
      </c>
      <c r="AG16" s="2"/>
    </row>
    <row r="17" spans="1:33">
      <c r="A17" t="s">
        <v>41</v>
      </c>
      <c r="B17" s="12">
        <f t="shared" ref="B17:G17" si="16">GEOMEAN(B11:B16)</f>
        <v>100</v>
      </c>
      <c r="C17" s="12">
        <f t="shared" si="16"/>
        <v>97.489684793223603</v>
      </c>
      <c r="D17" s="12">
        <f t="shared" si="16"/>
        <v>102.28197208091899</v>
      </c>
      <c r="E17" s="12">
        <f t="shared" si="16"/>
        <v>103.42621062264411</v>
      </c>
      <c r="F17" s="12">
        <f t="shared" si="16"/>
        <v>105.36424408250845</v>
      </c>
      <c r="G17" s="12">
        <f t="shared" si="16"/>
        <v>107.35534334529754</v>
      </c>
      <c r="H17" s="12"/>
      <c r="I17" s="12"/>
      <c r="J17" s="12"/>
      <c r="K17" s="12"/>
      <c r="L17" s="12"/>
      <c r="M17" s="12"/>
      <c r="N17" s="13"/>
      <c r="O17" s="13" t="s">
        <v>26</v>
      </c>
      <c r="P17" s="13" t="s">
        <v>20</v>
      </c>
      <c r="Q17" s="22">
        <f t="shared" si="0"/>
        <v>87333</v>
      </c>
      <c r="R17" s="22">
        <f t="shared" si="1"/>
        <v>168.23399999999998</v>
      </c>
      <c r="S17" s="16">
        <f t="shared" si="2"/>
        <v>34.351276149908969</v>
      </c>
      <c r="T17" s="2">
        <f t="shared" si="3"/>
        <v>87643.7</v>
      </c>
      <c r="U17" s="2">
        <f t="shared" si="4"/>
        <v>87311.9</v>
      </c>
      <c r="V17" s="2">
        <f t="shared" si="5"/>
        <v>87687.1</v>
      </c>
      <c r="W17" s="2">
        <f t="shared" si="6"/>
        <v>87084.7</v>
      </c>
      <c r="X17" s="2">
        <f t="shared" si="7"/>
        <v>86937.600000000006</v>
      </c>
      <c r="Y17" s="2">
        <f t="shared" si="8"/>
        <v>166.32</v>
      </c>
      <c r="Z17" s="2">
        <f t="shared" si="9"/>
        <v>164.84</v>
      </c>
      <c r="AA17" s="2">
        <f t="shared" si="10"/>
        <v>168.77</v>
      </c>
      <c r="AB17" s="2">
        <f t="shared" si="11"/>
        <v>169.21</v>
      </c>
      <c r="AC17" s="2">
        <f t="shared" si="12"/>
        <v>172.03</v>
      </c>
      <c r="AD17" s="1">
        <f t="shared" si="13"/>
        <v>0.30344346701325825</v>
      </c>
      <c r="AE17" s="1">
        <f t="shared" si="14"/>
        <v>0.69408347840875784</v>
      </c>
      <c r="AF17" s="13" t="s">
        <v>20</v>
      </c>
      <c r="AG17" s="2"/>
    </row>
    <row r="18" spans="1:33">
      <c r="H18" s="12"/>
      <c r="I18" s="12"/>
      <c r="J18" s="12"/>
      <c r="K18" s="12"/>
      <c r="L18" s="12"/>
      <c r="M18" s="12"/>
      <c r="N18" s="13"/>
      <c r="O18" s="13" t="s">
        <v>26</v>
      </c>
      <c r="P18" s="13" t="s">
        <v>19</v>
      </c>
      <c r="Q18" s="22">
        <f t="shared" si="0"/>
        <v>88998.319999999992</v>
      </c>
      <c r="R18" s="22">
        <f t="shared" si="1"/>
        <v>312.536</v>
      </c>
      <c r="S18" s="16">
        <f t="shared" si="2"/>
        <v>33.70850146384786</v>
      </c>
      <c r="T18" s="2">
        <f t="shared" si="3"/>
        <v>89219</v>
      </c>
      <c r="U18" s="2">
        <f t="shared" si="4"/>
        <v>89136.4</v>
      </c>
      <c r="V18" s="2">
        <f t="shared" si="5"/>
        <v>89089.9</v>
      </c>
      <c r="W18" s="2">
        <f t="shared" si="6"/>
        <v>88758.2</v>
      </c>
      <c r="X18" s="2">
        <f t="shared" si="7"/>
        <v>88788.1</v>
      </c>
      <c r="Y18" s="2">
        <f t="shared" si="8"/>
        <v>316.44</v>
      </c>
      <c r="Z18" s="2">
        <f t="shared" si="9"/>
        <v>304.49</v>
      </c>
      <c r="AA18" s="2">
        <f t="shared" si="10"/>
        <v>309.68</v>
      </c>
      <c r="AB18" s="2">
        <f t="shared" si="11"/>
        <v>315.12</v>
      </c>
      <c r="AC18" s="2">
        <f t="shared" si="12"/>
        <v>316.95</v>
      </c>
      <c r="AD18" s="1">
        <f t="shared" si="13"/>
        <v>0.30452670848476837</v>
      </c>
      <c r="AE18" s="1">
        <f t="shared" si="14"/>
        <v>1.3363693819449753</v>
      </c>
      <c r="AF18" s="13" t="s">
        <v>19</v>
      </c>
      <c r="AG18" s="2"/>
    </row>
    <row r="19" spans="1:33">
      <c r="A19" t="s">
        <v>45</v>
      </c>
      <c r="B19" t="s">
        <v>17</v>
      </c>
      <c r="C19" t="s">
        <v>23</v>
      </c>
      <c r="D19" t="s">
        <v>31</v>
      </c>
      <c r="E19" t="s">
        <v>21</v>
      </c>
      <c r="F19" t="s">
        <v>20</v>
      </c>
      <c r="G19" t="s">
        <v>19</v>
      </c>
      <c r="H19" s="12"/>
      <c r="I19" s="12"/>
      <c r="J19" s="12"/>
      <c r="K19" s="12"/>
      <c r="L19" s="12"/>
      <c r="M19" s="12"/>
      <c r="N19" s="18">
        <f>MAX(S14:S19)</f>
        <v>36.910911086782718</v>
      </c>
      <c r="O19" s="13" t="s">
        <v>26</v>
      </c>
      <c r="P19" s="13" t="s">
        <v>17</v>
      </c>
      <c r="Q19" s="22">
        <f t="shared" si="0"/>
        <v>82262.259999999995</v>
      </c>
      <c r="R19" s="22">
        <f t="shared" si="1"/>
        <v>101.568</v>
      </c>
      <c r="S19" s="16">
        <f t="shared" si="2"/>
        <v>36.468728187141956</v>
      </c>
      <c r="T19" s="2">
        <f t="shared" si="3"/>
        <v>82592.100000000006</v>
      </c>
      <c r="U19" s="2">
        <f t="shared" si="4"/>
        <v>82552.600000000006</v>
      </c>
      <c r="V19" s="2">
        <f t="shared" si="5"/>
        <v>82529.399999999994</v>
      </c>
      <c r="W19" s="2">
        <f t="shared" si="6"/>
        <v>81689.5</v>
      </c>
      <c r="X19" s="2">
        <f t="shared" si="7"/>
        <v>81947.7</v>
      </c>
      <c r="Y19" s="2">
        <f t="shared" si="8"/>
        <v>100.69</v>
      </c>
      <c r="Z19" s="2">
        <f t="shared" si="9"/>
        <v>99.71</v>
      </c>
      <c r="AA19" s="2">
        <f t="shared" si="10"/>
        <v>102.87</v>
      </c>
      <c r="AB19" s="2">
        <f t="shared" si="11"/>
        <v>101.53</v>
      </c>
      <c r="AC19" s="2">
        <f t="shared" si="12"/>
        <v>103.04</v>
      </c>
      <c r="AD19" s="1">
        <f t="shared" si="13"/>
        <v>0</v>
      </c>
      <c r="AE19" s="1">
        <f t="shared" si="14"/>
        <v>0.35545921003682107</v>
      </c>
      <c r="AF19" s="13" t="s">
        <v>17</v>
      </c>
      <c r="AG19" s="2"/>
    </row>
    <row r="20" spans="1:33">
      <c r="A20" t="s">
        <v>28</v>
      </c>
      <c r="B20">
        <f>R7</f>
        <v>142.95599999999999</v>
      </c>
      <c r="C20">
        <f>R2</f>
        <v>323.61400000000003</v>
      </c>
      <c r="D20">
        <f>R3</f>
        <v>214.42200000000003</v>
      </c>
      <c r="E20">
        <f>R4</f>
        <v>236.666</v>
      </c>
      <c r="F20">
        <f>R5</f>
        <v>215.45999999999998</v>
      </c>
      <c r="G20">
        <f>R6</f>
        <v>309.71999999999997</v>
      </c>
      <c r="N20" s="13" t="s">
        <v>46</v>
      </c>
      <c r="O20" s="13" t="s">
        <v>25</v>
      </c>
      <c r="P20" s="13" t="s">
        <v>23</v>
      </c>
      <c r="Q20" s="22">
        <f t="shared" si="0"/>
        <v>219740.2</v>
      </c>
      <c r="R20" s="22">
        <f t="shared" si="1"/>
        <v>339.1</v>
      </c>
      <c r="S20" s="16">
        <f t="shared" si="2"/>
        <v>13.652485981172312</v>
      </c>
      <c r="T20" s="2">
        <f t="shared" si="3"/>
        <v>220588</v>
      </c>
      <c r="U20" s="2">
        <f t="shared" si="4"/>
        <v>218242</v>
      </c>
      <c r="V20" s="2">
        <f t="shared" si="5"/>
        <v>220337</v>
      </c>
      <c r="W20" s="2">
        <f t="shared" si="6"/>
        <v>219651</v>
      </c>
      <c r="X20" s="2">
        <f t="shared" si="7"/>
        <v>219883</v>
      </c>
      <c r="Y20" s="2">
        <f t="shared" si="8"/>
        <v>339.39</v>
      </c>
      <c r="Z20" s="2">
        <f t="shared" si="9"/>
        <v>336.79</v>
      </c>
      <c r="AA20" s="2">
        <f t="shared" si="10"/>
        <v>348.84</v>
      </c>
      <c r="AB20" s="2">
        <f t="shared" si="11"/>
        <v>324.76</v>
      </c>
      <c r="AC20" s="2">
        <f t="shared" si="12"/>
        <v>345.72</v>
      </c>
      <c r="AD20" s="1">
        <f t="shared" si="13"/>
        <v>0.94444760209246092</v>
      </c>
      <c r="AE20" s="1">
        <f t="shared" si="14"/>
        <v>2.3376931738361222</v>
      </c>
      <c r="AF20" s="13" t="s">
        <v>23</v>
      </c>
      <c r="AG20" s="2"/>
    </row>
    <row r="21" spans="1:33">
      <c r="A21" t="s">
        <v>27</v>
      </c>
      <c r="B21">
        <f>R13</f>
        <v>117.80999999999999</v>
      </c>
      <c r="C21">
        <f>R8</f>
        <v>335.41800000000001</v>
      </c>
      <c r="D21">
        <f>R9</f>
        <v>198.13</v>
      </c>
      <c r="E21">
        <f>R10</f>
        <v>209.44800000000001</v>
      </c>
      <c r="F21">
        <f>R11</f>
        <v>183.42400000000004</v>
      </c>
      <c r="G21">
        <f>R12</f>
        <v>320.78000000000003</v>
      </c>
      <c r="N21" s="13" t="s">
        <v>43</v>
      </c>
      <c r="O21" s="13" t="s">
        <v>25</v>
      </c>
      <c r="P21" s="13" t="s">
        <v>22</v>
      </c>
      <c r="Q21" s="22">
        <f t="shared" si="0"/>
        <v>229637</v>
      </c>
      <c r="R21" s="22">
        <f t="shared" si="1"/>
        <v>224.584</v>
      </c>
      <c r="S21" s="16">
        <f t="shared" si="2"/>
        <v>13.064096813666787</v>
      </c>
      <c r="T21" s="2">
        <f t="shared" si="3"/>
        <v>230035</v>
      </c>
      <c r="U21" s="2">
        <f t="shared" si="4"/>
        <v>227910</v>
      </c>
      <c r="V21" s="2">
        <f t="shared" si="5"/>
        <v>230657</v>
      </c>
      <c r="W21" s="2">
        <f t="shared" si="6"/>
        <v>228676</v>
      </c>
      <c r="X21" s="2">
        <f t="shared" si="7"/>
        <v>230907</v>
      </c>
      <c r="Y21" s="2">
        <f t="shared" si="8"/>
        <v>223.02</v>
      </c>
      <c r="Z21" s="2">
        <f t="shared" si="9"/>
        <v>225.17</v>
      </c>
      <c r="AA21" s="2">
        <f t="shared" si="10"/>
        <v>222.21</v>
      </c>
      <c r="AB21" s="2">
        <f t="shared" si="11"/>
        <v>225.41</v>
      </c>
      <c r="AC21" s="2">
        <f t="shared" si="12"/>
        <v>227.11</v>
      </c>
      <c r="AD21" s="1">
        <f t="shared" si="13"/>
        <v>0.93819444210892089</v>
      </c>
      <c r="AE21" s="1">
        <f t="shared" si="14"/>
        <v>0.49194003699637995</v>
      </c>
      <c r="AF21" s="13" t="s">
        <v>22</v>
      </c>
      <c r="AG21" s="2"/>
    </row>
    <row r="22" spans="1:33">
      <c r="A22" t="s">
        <v>26</v>
      </c>
      <c r="B22">
        <f>R19</f>
        <v>101.568</v>
      </c>
      <c r="C22">
        <f>R14</f>
        <v>342.00399999999996</v>
      </c>
      <c r="D22">
        <f>R15</f>
        <v>193.54599999999999</v>
      </c>
      <c r="E22">
        <f>R16</f>
        <v>198.58599999999996</v>
      </c>
      <c r="F22">
        <f>R17</f>
        <v>168.23399999999998</v>
      </c>
      <c r="G22">
        <f>R18</f>
        <v>312.536</v>
      </c>
      <c r="N22" s="13"/>
      <c r="O22" s="13" t="s">
        <v>25</v>
      </c>
      <c r="P22" s="13" t="s">
        <v>21</v>
      </c>
      <c r="Q22" s="22">
        <f t="shared" si="0"/>
        <v>232930.4</v>
      </c>
      <c r="R22" s="22">
        <f t="shared" si="1"/>
        <v>243.48000000000002</v>
      </c>
      <c r="S22" s="16">
        <f t="shared" si="2"/>
        <v>12.879383712903081</v>
      </c>
      <c r="T22" s="2">
        <f t="shared" si="3"/>
        <v>235201</v>
      </c>
      <c r="U22" s="2">
        <f t="shared" si="4"/>
        <v>235158</v>
      </c>
      <c r="V22" s="2">
        <f t="shared" si="5"/>
        <v>230735</v>
      </c>
      <c r="W22" s="2">
        <f t="shared" si="6"/>
        <v>232157</v>
      </c>
      <c r="X22" s="2">
        <f t="shared" si="7"/>
        <v>231401</v>
      </c>
      <c r="Y22" s="2">
        <f t="shared" si="8"/>
        <v>255.34</v>
      </c>
      <c r="Z22" s="2">
        <f t="shared" si="9"/>
        <v>245.1</v>
      </c>
      <c r="AA22" s="2">
        <f t="shared" si="10"/>
        <v>235.08</v>
      </c>
      <c r="AB22" s="2">
        <f t="shared" si="11"/>
        <v>242.61</v>
      </c>
      <c r="AC22" s="2">
        <f t="shared" si="12"/>
        <v>239.27</v>
      </c>
      <c r="AD22" s="1">
        <f t="shared" si="13"/>
        <v>1.0380117802341826</v>
      </c>
      <c r="AE22" s="1">
        <f t="shared" si="14"/>
        <v>1.9052763907108059</v>
      </c>
      <c r="AF22" s="13" t="s">
        <v>21</v>
      </c>
      <c r="AG22" s="2"/>
    </row>
    <row r="23" spans="1:33">
      <c r="A23" t="s">
        <v>25</v>
      </c>
      <c r="B23">
        <f>R25</f>
        <v>169.55400000000003</v>
      </c>
      <c r="C23">
        <f>R20</f>
        <v>339.1</v>
      </c>
      <c r="D23">
        <f>R21</f>
        <v>224.584</v>
      </c>
      <c r="E23">
        <f>R22</f>
        <v>243.48000000000002</v>
      </c>
      <c r="F23">
        <f>R23</f>
        <v>227.07800000000003</v>
      </c>
      <c r="G23">
        <f>R24</f>
        <v>319.07400000000001</v>
      </c>
      <c r="N23" s="13"/>
      <c r="O23" s="13" t="s">
        <v>25</v>
      </c>
      <c r="P23" s="13" t="s">
        <v>20</v>
      </c>
      <c r="Q23" s="22">
        <f t="shared" si="0"/>
        <v>237184.2</v>
      </c>
      <c r="R23" s="22">
        <f t="shared" si="1"/>
        <v>227.07800000000003</v>
      </c>
      <c r="S23" s="16">
        <f t="shared" si="2"/>
        <v>12.648397321575382</v>
      </c>
      <c r="T23" s="2">
        <f t="shared" si="3"/>
        <v>236181</v>
      </c>
      <c r="U23" s="2">
        <f t="shared" si="4"/>
        <v>239174</v>
      </c>
      <c r="V23" s="2">
        <f t="shared" si="5"/>
        <v>236304</v>
      </c>
      <c r="W23" s="2">
        <f t="shared" si="6"/>
        <v>236620</v>
      </c>
      <c r="X23" s="2">
        <f t="shared" si="7"/>
        <v>237642</v>
      </c>
      <c r="Y23" s="2">
        <f t="shared" si="8"/>
        <v>223.97</v>
      </c>
      <c r="Z23" s="2">
        <f t="shared" si="9"/>
        <v>234.22</v>
      </c>
      <c r="AA23" s="2">
        <f t="shared" si="10"/>
        <v>224.25</v>
      </c>
      <c r="AB23" s="2">
        <f t="shared" si="11"/>
        <v>225.55</v>
      </c>
      <c r="AC23" s="2">
        <f t="shared" si="12"/>
        <v>227.4</v>
      </c>
      <c r="AD23" s="1">
        <f t="shared" si="13"/>
        <v>0.47964167311793388</v>
      </c>
      <c r="AE23" s="1">
        <f t="shared" si="14"/>
        <v>1.0540389580086684</v>
      </c>
      <c r="AF23" s="13" t="s">
        <v>20</v>
      </c>
      <c r="AG23" s="2"/>
    </row>
    <row r="24" spans="1:33">
      <c r="A24" t="s">
        <v>24</v>
      </c>
      <c r="B24">
        <f>R31</f>
        <v>164.3</v>
      </c>
      <c r="C24">
        <f>R26</f>
        <v>341.88599999999997</v>
      </c>
      <c r="D24">
        <f>R27</f>
        <v>223.72599999999997</v>
      </c>
      <c r="E24">
        <f>R28</f>
        <v>227.51</v>
      </c>
      <c r="F24">
        <f>R29</f>
        <v>229.82600000000002</v>
      </c>
      <c r="G24">
        <f>R30</f>
        <v>322.12600000000003</v>
      </c>
      <c r="N24" s="13"/>
      <c r="O24" s="13" t="s">
        <v>25</v>
      </c>
      <c r="P24" s="13" t="s">
        <v>19</v>
      </c>
      <c r="Q24" s="22">
        <f t="shared" si="0"/>
        <v>240696.6</v>
      </c>
      <c r="R24" s="22">
        <f t="shared" si="1"/>
        <v>319.07400000000001</v>
      </c>
      <c r="S24" s="16">
        <f t="shared" si="2"/>
        <v>12.463823751561094</v>
      </c>
      <c r="T24" s="2">
        <f t="shared" si="3"/>
        <v>241443</v>
      </c>
      <c r="U24" s="2">
        <f t="shared" si="4"/>
        <v>242298</v>
      </c>
      <c r="V24" s="2">
        <f t="shared" si="5"/>
        <v>239640</v>
      </c>
      <c r="W24" s="2">
        <f t="shared" si="6"/>
        <v>238803</v>
      </c>
      <c r="X24" s="2">
        <f t="shared" si="7"/>
        <v>241299</v>
      </c>
      <c r="Y24" s="2">
        <f t="shared" si="8"/>
        <v>314.10000000000002</v>
      </c>
      <c r="Z24" s="2">
        <f t="shared" si="9"/>
        <v>323.19</v>
      </c>
      <c r="AA24" s="2">
        <f t="shared" si="10"/>
        <v>308.81</v>
      </c>
      <c r="AB24" s="2">
        <f t="shared" si="11"/>
        <v>318.61</v>
      </c>
      <c r="AC24" s="2">
        <f t="shared" si="12"/>
        <v>330.66</v>
      </c>
      <c r="AD24" s="1">
        <f t="shared" si="13"/>
        <v>0.52266274011588587</v>
      </c>
      <c r="AE24" s="1">
        <f t="shared" si="14"/>
        <v>2.0971801007543447</v>
      </c>
      <c r="AF24" s="13" t="s">
        <v>19</v>
      </c>
      <c r="AG24" s="2"/>
    </row>
    <row r="25" spans="1:33">
      <c r="A25" t="s">
        <v>18</v>
      </c>
      <c r="B25">
        <f>R37</f>
        <v>155.65600000000001</v>
      </c>
      <c r="C25">
        <f>R32</f>
        <v>328.49200000000002</v>
      </c>
      <c r="D25">
        <f>R33</f>
        <v>217.93599999999998</v>
      </c>
      <c r="E25">
        <f>R34</f>
        <v>240.10599999999999</v>
      </c>
      <c r="F25">
        <f>R35</f>
        <v>228.57599999999996</v>
      </c>
      <c r="G25">
        <f>R36</f>
        <v>321.30999999999995</v>
      </c>
      <c r="N25" s="18">
        <f>MAX(S20:S25)</f>
        <v>13.652485981172312</v>
      </c>
      <c r="O25" s="13" t="s">
        <v>25</v>
      </c>
      <c r="P25" s="13" t="s">
        <v>17</v>
      </c>
      <c r="Q25" s="22">
        <f t="shared" si="0"/>
        <v>225341.4</v>
      </c>
      <c r="R25" s="22">
        <f t="shared" si="1"/>
        <v>169.55400000000003</v>
      </c>
      <c r="S25" s="16">
        <f t="shared" si="2"/>
        <v>13.313132873053954</v>
      </c>
      <c r="T25" s="2">
        <f t="shared" si="3"/>
        <v>224846</v>
      </c>
      <c r="U25" s="2">
        <f t="shared" si="4"/>
        <v>226522</v>
      </c>
      <c r="V25" s="2">
        <f t="shared" si="5"/>
        <v>223598</v>
      </c>
      <c r="W25" s="2">
        <f t="shared" si="6"/>
        <v>224374</v>
      </c>
      <c r="X25" s="2">
        <f t="shared" si="7"/>
        <v>227367</v>
      </c>
      <c r="Y25" s="2">
        <f t="shared" si="8"/>
        <v>173.86</v>
      </c>
      <c r="Z25" s="2">
        <f t="shared" si="9"/>
        <v>169.3</v>
      </c>
      <c r="AA25" s="2">
        <f t="shared" si="10"/>
        <v>165.12</v>
      </c>
      <c r="AB25" s="2">
        <f t="shared" si="11"/>
        <v>163.66</v>
      </c>
      <c r="AC25" s="2">
        <f t="shared" si="12"/>
        <v>175.83</v>
      </c>
      <c r="AD25" s="1">
        <f t="shared" si="13"/>
        <v>0</v>
      </c>
      <c r="AE25" s="1">
        <f t="shared" si="14"/>
        <v>1.3251999849079399</v>
      </c>
      <c r="AF25" s="13" t="s">
        <v>17</v>
      </c>
      <c r="AG25" s="2"/>
    </row>
    <row r="26" spans="1:33">
      <c r="N26" s="13" t="s">
        <v>46</v>
      </c>
      <c r="O26" s="13" t="s">
        <v>24</v>
      </c>
      <c r="P26" s="13" t="s">
        <v>23</v>
      </c>
      <c r="Q26" s="22">
        <f t="shared" si="0"/>
        <v>9587.0300000000007</v>
      </c>
      <c r="R26" s="22">
        <f t="shared" si="1"/>
        <v>341.88599999999997</v>
      </c>
      <c r="S26" s="16">
        <f t="shared" si="2"/>
        <v>312.92277170301958</v>
      </c>
      <c r="T26" s="2">
        <f t="shared" si="3"/>
        <v>9609.0400000000009</v>
      </c>
      <c r="U26" s="2">
        <f t="shared" si="4"/>
        <v>9503.81</v>
      </c>
      <c r="V26" s="2">
        <f t="shared" si="5"/>
        <v>9543.43</v>
      </c>
      <c r="W26" s="2">
        <f t="shared" si="6"/>
        <v>9639.8700000000008</v>
      </c>
      <c r="X26" s="2">
        <f t="shared" si="7"/>
        <v>9639</v>
      </c>
      <c r="Y26" s="2">
        <f t="shared" si="8"/>
        <v>332.14</v>
      </c>
      <c r="Z26" s="2">
        <f t="shared" si="9"/>
        <v>336.93</v>
      </c>
      <c r="AA26" s="2">
        <f t="shared" si="10"/>
        <v>350.98</v>
      </c>
      <c r="AB26" s="2">
        <f t="shared" si="11"/>
        <v>342.81</v>
      </c>
      <c r="AC26" s="2">
        <f t="shared" si="12"/>
        <v>346.57</v>
      </c>
      <c r="AD26" s="1">
        <f t="shared" si="13"/>
        <v>0.50030640415485861</v>
      </c>
      <c r="AE26" s="1">
        <f t="shared" si="14"/>
        <v>1.8751704922486403</v>
      </c>
      <c r="AF26" s="13" t="s">
        <v>23</v>
      </c>
      <c r="AG26" s="2"/>
    </row>
    <row r="27" spans="1:33">
      <c r="A27" t="s">
        <v>45</v>
      </c>
      <c r="B27" t="s">
        <v>17</v>
      </c>
      <c r="C27" t="s">
        <v>23</v>
      </c>
      <c r="D27" t="s">
        <v>31</v>
      </c>
      <c r="E27" t="s">
        <v>21</v>
      </c>
      <c r="F27" t="s">
        <v>20</v>
      </c>
      <c r="G27" t="s">
        <v>19</v>
      </c>
      <c r="N27" s="13" t="s">
        <v>44</v>
      </c>
      <c r="O27" s="13" t="s">
        <v>24</v>
      </c>
      <c r="P27" s="13" t="s">
        <v>22</v>
      </c>
      <c r="Q27" s="22">
        <f t="shared" si="0"/>
        <v>9901.4959999999992</v>
      </c>
      <c r="R27" s="22">
        <f t="shared" si="1"/>
        <v>223.72599999999997</v>
      </c>
      <c r="S27" s="16">
        <f t="shared" si="2"/>
        <v>302.98451870303239</v>
      </c>
      <c r="T27" s="2">
        <f t="shared" si="3"/>
        <v>9866.7099999999991</v>
      </c>
      <c r="U27" s="2">
        <f t="shared" si="4"/>
        <v>9839.33</v>
      </c>
      <c r="V27" s="2">
        <f t="shared" si="5"/>
        <v>9861.6299999999992</v>
      </c>
      <c r="W27" s="2">
        <f t="shared" si="6"/>
        <v>9988.4599999999991</v>
      </c>
      <c r="X27" s="2">
        <f t="shared" si="7"/>
        <v>9951.35</v>
      </c>
      <c r="Y27" s="2">
        <f t="shared" si="8"/>
        <v>222.3</v>
      </c>
      <c r="Z27" s="2">
        <f t="shared" si="9"/>
        <v>225.07</v>
      </c>
      <c r="AA27" s="2">
        <f t="shared" si="10"/>
        <v>231.64</v>
      </c>
      <c r="AB27" s="2">
        <f t="shared" si="11"/>
        <v>215.82</v>
      </c>
      <c r="AC27" s="2">
        <f t="shared" si="12"/>
        <v>223.8</v>
      </c>
      <c r="AD27" s="1">
        <f t="shared" si="13"/>
        <v>0.31746822026617394</v>
      </c>
      <c r="AE27" s="1">
        <f t="shared" si="14"/>
        <v>1.4196253907281307</v>
      </c>
      <c r="AF27" s="13" t="s">
        <v>22</v>
      </c>
      <c r="AG27" s="2"/>
    </row>
    <row r="28" spans="1:33">
      <c r="A28" t="s">
        <v>28</v>
      </c>
      <c r="B28">
        <f t="shared" ref="B28:G33" si="17">B20/$B$35</f>
        <v>35.738999999999997</v>
      </c>
      <c r="C28">
        <f t="shared" si="17"/>
        <v>80.903500000000008</v>
      </c>
      <c r="D28">
        <f t="shared" si="17"/>
        <v>53.605500000000006</v>
      </c>
      <c r="E28">
        <f t="shared" si="17"/>
        <v>59.166499999999999</v>
      </c>
      <c r="F28">
        <f t="shared" si="17"/>
        <v>53.864999999999995</v>
      </c>
      <c r="G28">
        <f t="shared" si="17"/>
        <v>77.429999999999993</v>
      </c>
      <c r="N28" s="13"/>
      <c r="O28" s="13" t="s">
        <v>24</v>
      </c>
      <c r="P28" s="13" t="s">
        <v>21</v>
      </c>
      <c r="Q28" s="22">
        <f t="shared" si="0"/>
        <v>9809.1039999999994</v>
      </c>
      <c r="R28" s="22">
        <f t="shared" si="1"/>
        <v>227.51</v>
      </c>
      <c r="S28" s="16">
        <f t="shared" si="2"/>
        <v>305.83833141130935</v>
      </c>
      <c r="T28" s="2">
        <f t="shared" si="3"/>
        <v>9712.9</v>
      </c>
      <c r="U28" s="2">
        <f t="shared" si="4"/>
        <v>9716.4599999999991</v>
      </c>
      <c r="V28" s="2">
        <f t="shared" si="5"/>
        <v>9837.1</v>
      </c>
      <c r="W28" s="2">
        <f t="shared" si="6"/>
        <v>9969.6</v>
      </c>
      <c r="X28" s="2">
        <f t="shared" si="7"/>
        <v>9809.4599999999991</v>
      </c>
      <c r="Y28" s="2">
        <f t="shared" si="8"/>
        <v>222.11</v>
      </c>
      <c r="Z28" s="2">
        <f t="shared" si="9"/>
        <v>231.64</v>
      </c>
      <c r="AA28" s="2">
        <f t="shared" si="10"/>
        <v>237.89</v>
      </c>
      <c r="AB28" s="2">
        <f t="shared" si="11"/>
        <v>220.02</v>
      </c>
      <c r="AC28" s="2">
        <f t="shared" si="12"/>
        <v>225.89</v>
      </c>
      <c r="AD28" s="1">
        <f t="shared" si="13"/>
        <v>0.87840946543496745</v>
      </c>
      <c r="AE28" s="1">
        <f t="shared" si="14"/>
        <v>1.8229689040134474</v>
      </c>
      <c r="AF28" s="13" t="s">
        <v>21</v>
      </c>
      <c r="AG28" s="2"/>
    </row>
    <row r="29" spans="1:33">
      <c r="A29" t="s">
        <v>27</v>
      </c>
      <c r="B29">
        <f t="shared" si="17"/>
        <v>29.452499999999997</v>
      </c>
      <c r="C29">
        <f t="shared" si="17"/>
        <v>83.854500000000002</v>
      </c>
      <c r="D29">
        <f t="shared" si="17"/>
        <v>49.532499999999999</v>
      </c>
      <c r="E29">
        <f t="shared" si="17"/>
        <v>52.362000000000002</v>
      </c>
      <c r="F29">
        <f t="shared" si="17"/>
        <v>45.856000000000009</v>
      </c>
      <c r="G29">
        <f t="shared" si="17"/>
        <v>80.195000000000007</v>
      </c>
      <c r="N29" s="13"/>
      <c r="O29" s="13" t="s">
        <v>24</v>
      </c>
      <c r="P29" s="13" t="s">
        <v>20</v>
      </c>
      <c r="Q29" s="22">
        <f t="shared" si="0"/>
        <v>10183.68</v>
      </c>
      <c r="R29" s="22">
        <f t="shared" si="1"/>
        <v>229.82600000000002</v>
      </c>
      <c r="S29" s="16">
        <f t="shared" si="2"/>
        <v>294.58898944193061</v>
      </c>
      <c r="T29" s="2">
        <f t="shared" si="3"/>
        <v>10177</v>
      </c>
      <c r="U29" s="2">
        <f t="shared" si="4"/>
        <v>10101.6</v>
      </c>
      <c r="V29" s="2">
        <f t="shared" si="5"/>
        <v>10178.4</v>
      </c>
      <c r="W29" s="2">
        <f t="shared" si="6"/>
        <v>10246.299999999999</v>
      </c>
      <c r="X29" s="2">
        <f t="shared" si="7"/>
        <v>10215.1</v>
      </c>
      <c r="Y29" s="2">
        <f t="shared" si="8"/>
        <v>225.72</v>
      </c>
      <c r="Z29" s="2">
        <f t="shared" si="9"/>
        <v>240.47</v>
      </c>
      <c r="AA29" s="2">
        <f t="shared" si="10"/>
        <v>222.77</v>
      </c>
      <c r="AB29" s="2">
        <f t="shared" si="11"/>
        <v>231.91</v>
      </c>
      <c r="AC29" s="2">
        <f t="shared" si="12"/>
        <v>228.26</v>
      </c>
      <c r="AD29" s="1">
        <f t="shared" si="13"/>
        <v>0.49251121500575262</v>
      </c>
      <c r="AE29" s="1">
        <f t="shared" si="14"/>
        <v>1.7081446440509651</v>
      </c>
      <c r="AF29" s="13" t="s">
        <v>20</v>
      </c>
      <c r="AG29" s="2"/>
    </row>
    <row r="30" spans="1:33">
      <c r="A30" t="s">
        <v>26</v>
      </c>
      <c r="B30">
        <f t="shared" si="17"/>
        <v>25.391999999999999</v>
      </c>
      <c r="C30">
        <f t="shared" si="17"/>
        <v>85.500999999999991</v>
      </c>
      <c r="D30">
        <f t="shared" si="17"/>
        <v>48.386499999999998</v>
      </c>
      <c r="E30">
        <f t="shared" si="17"/>
        <v>49.646499999999989</v>
      </c>
      <c r="F30">
        <f t="shared" si="17"/>
        <v>42.058499999999995</v>
      </c>
      <c r="G30">
        <f t="shared" si="17"/>
        <v>78.134</v>
      </c>
      <c r="N30" s="13"/>
      <c r="O30" s="13" t="s">
        <v>24</v>
      </c>
      <c r="P30" s="13" t="s">
        <v>19</v>
      </c>
      <c r="Q30" s="22">
        <f t="shared" si="0"/>
        <v>10387.619999999999</v>
      </c>
      <c r="R30" s="22">
        <f t="shared" si="1"/>
        <v>322.12600000000003</v>
      </c>
      <c r="S30" s="16">
        <f t="shared" si="2"/>
        <v>288.80532788068876</v>
      </c>
      <c r="T30" s="2">
        <f t="shared" si="3"/>
        <v>10345.4</v>
      </c>
      <c r="U30" s="2">
        <f t="shared" si="4"/>
        <v>10339.4</v>
      </c>
      <c r="V30" s="2">
        <f t="shared" si="5"/>
        <v>10341.299999999999</v>
      </c>
      <c r="W30" s="2">
        <f t="shared" si="6"/>
        <v>10471.5</v>
      </c>
      <c r="X30" s="2">
        <f t="shared" si="7"/>
        <v>10440.5</v>
      </c>
      <c r="Y30" s="2">
        <f t="shared" si="8"/>
        <v>329.24</v>
      </c>
      <c r="Z30" s="2">
        <f t="shared" si="9"/>
        <v>322.12</v>
      </c>
      <c r="AA30" s="2">
        <f t="shared" si="10"/>
        <v>330.07</v>
      </c>
      <c r="AB30" s="2">
        <f t="shared" si="11"/>
        <v>314.54000000000002</v>
      </c>
      <c r="AC30" s="2">
        <f t="shared" si="12"/>
        <v>314.66000000000003</v>
      </c>
      <c r="AD30" s="1">
        <f t="shared" si="13"/>
        <v>0.25086626595867739</v>
      </c>
      <c r="AE30" s="1">
        <f t="shared" si="14"/>
        <v>1.8833344764008304</v>
      </c>
      <c r="AF30" s="13" t="s">
        <v>19</v>
      </c>
      <c r="AG30" s="2"/>
    </row>
    <row r="31" spans="1:33">
      <c r="A31" t="s">
        <v>25</v>
      </c>
      <c r="B31">
        <f t="shared" si="17"/>
        <v>42.388500000000008</v>
      </c>
      <c r="C31">
        <f t="shared" si="17"/>
        <v>84.775000000000006</v>
      </c>
      <c r="D31">
        <f t="shared" si="17"/>
        <v>56.146000000000001</v>
      </c>
      <c r="E31">
        <f t="shared" si="17"/>
        <v>60.870000000000005</v>
      </c>
      <c r="F31">
        <f t="shared" si="17"/>
        <v>56.769500000000008</v>
      </c>
      <c r="G31">
        <f t="shared" si="17"/>
        <v>79.768500000000003</v>
      </c>
      <c r="N31" s="18">
        <f>MAX(S26:S31)</f>
        <v>312.92277170301958</v>
      </c>
      <c r="O31" s="13" t="s">
        <v>24</v>
      </c>
      <c r="P31" s="13" t="s">
        <v>17</v>
      </c>
      <c r="Q31" s="22">
        <f t="shared" si="0"/>
        <v>9733.6459999999988</v>
      </c>
      <c r="R31" s="22">
        <f t="shared" si="1"/>
        <v>164.3</v>
      </c>
      <c r="S31" s="16">
        <f t="shared" si="2"/>
        <v>308.20927738691137</v>
      </c>
      <c r="T31" s="2">
        <f t="shared" si="3"/>
        <v>9680.6200000000008</v>
      </c>
      <c r="U31" s="2">
        <f t="shared" si="4"/>
        <v>9709.15</v>
      </c>
      <c r="V31" s="2">
        <f t="shared" si="5"/>
        <v>9691.7900000000009</v>
      </c>
      <c r="W31" s="2">
        <f t="shared" si="6"/>
        <v>9780.8700000000008</v>
      </c>
      <c r="X31" s="2">
        <f t="shared" si="7"/>
        <v>9805.7999999999993</v>
      </c>
      <c r="Y31" s="2">
        <f t="shared" si="8"/>
        <v>164.4</v>
      </c>
      <c r="Z31" s="2">
        <f t="shared" si="9"/>
        <v>168.64</v>
      </c>
      <c r="AA31" s="2">
        <f t="shared" si="10"/>
        <v>159.02000000000001</v>
      </c>
      <c r="AB31" s="2">
        <f t="shared" si="11"/>
        <v>164.13</v>
      </c>
      <c r="AC31" s="2">
        <f t="shared" si="12"/>
        <v>165.31</v>
      </c>
      <c r="AD31" s="1">
        <f t="shared" si="13"/>
        <v>0</v>
      </c>
      <c r="AE31" s="1">
        <f t="shared" si="14"/>
        <v>0.86397518772242332</v>
      </c>
      <c r="AF31" s="13" t="s">
        <v>17</v>
      </c>
      <c r="AG31" s="2"/>
    </row>
    <row r="32" spans="1:33">
      <c r="A32" t="s">
        <v>24</v>
      </c>
      <c r="B32">
        <f t="shared" si="17"/>
        <v>41.075000000000003</v>
      </c>
      <c r="C32">
        <f t="shared" si="17"/>
        <v>85.471499999999992</v>
      </c>
      <c r="D32">
        <f t="shared" si="17"/>
        <v>55.931499999999993</v>
      </c>
      <c r="E32">
        <f t="shared" si="17"/>
        <v>56.877499999999998</v>
      </c>
      <c r="F32">
        <f t="shared" si="17"/>
        <v>57.456500000000005</v>
      </c>
      <c r="G32">
        <f t="shared" si="17"/>
        <v>80.531500000000008</v>
      </c>
      <c r="N32" s="13" t="s">
        <v>43</v>
      </c>
      <c r="O32" s="13" t="s">
        <v>18</v>
      </c>
      <c r="P32" s="13" t="s">
        <v>23</v>
      </c>
      <c r="Q32" s="22">
        <f t="shared" si="0"/>
        <v>69513.56</v>
      </c>
      <c r="R32" s="22">
        <f t="shared" si="1"/>
        <v>328.49200000000002</v>
      </c>
      <c r="S32" s="16">
        <f t="shared" si="2"/>
        <v>43.157047344431795</v>
      </c>
      <c r="T32" s="2">
        <f t="shared" si="3"/>
        <v>69773.3</v>
      </c>
      <c r="U32" s="2">
        <f t="shared" si="4"/>
        <v>69493.399999999994</v>
      </c>
      <c r="V32" s="2">
        <f t="shared" si="5"/>
        <v>69454</v>
      </c>
      <c r="W32" s="2">
        <f t="shared" si="6"/>
        <v>69754.399999999994</v>
      </c>
      <c r="X32" s="2">
        <f t="shared" si="7"/>
        <v>69092.7</v>
      </c>
      <c r="Y32" s="2">
        <f t="shared" si="8"/>
        <v>339.47</v>
      </c>
      <c r="Z32" s="2">
        <f t="shared" si="9"/>
        <v>326.10000000000002</v>
      </c>
      <c r="AA32" s="2">
        <f t="shared" si="10"/>
        <v>332.24</v>
      </c>
      <c r="AB32" s="2">
        <f t="shared" si="11"/>
        <v>323.39</v>
      </c>
      <c r="AC32" s="2">
        <f t="shared" si="12"/>
        <v>321.26</v>
      </c>
      <c r="AD32" s="1">
        <f t="shared" si="13"/>
        <v>0.48377228474840744</v>
      </c>
      <c r="AE32" s="1">
        <f t="shared" si="14"/>
        <v>1.8482165389910383</v>
      </c>
      <c r="AF32" s="13" t="s">
        <v>23</v>
      </c>
      <c r="AG32" s="2"/>
    </row>
    <row r="33" spans="1:33">
      <c r="A33" t="s">
        <v>18</v>
      </c>
      <c r="B33">
        <f t="shared" si="17"/>
        <v>38.914000000000001</v>
      </c>
      <c r="C33">
        <f t="shared" si="17"/>
        <v>82.123000000000005</v>
      </c>
      <c r="D33">
        <f t="shared" si="17"/>
        <v>54.483999999999995</v>
      </c>
      <c r="E33">
        <f t="shared" si="17"/>
        <v>60.026499999999999</v>
      </c>
      <c r="F33">
        <f t="shared" si="17"/>
        <v>57.143999999999991</v>
      </c>
      <c r="G33">
        <f t="shared" si="17"/>
        <v>80.327499999999986</v>
      </c>
      <c r="N33" s="13" t="s">
        <v>42</v>
      </c>
      <c r="O33" s="13" t="s">
        <v>18</v>
      </c>
      <c r="P33" s="13" t="s">
        <v>22</v>
      </c>
      <c r="Q33" s="22">
        <f t="shared" si="0"/>
        <v>73669.38</v>
      </c>
      <c r="R33" s="22">
        <f t="shared" si="1"/>
        <v>217.93599999999998</v>
      </c>
      <c r="S33" s="16">
        <f t="shared" si="2"/>
        <v>40.722481986410088</v>
      </c>
      <c r="T33" s="2">
        <f t="shared" si="3"/>
        <v>73537.100000000006</v>
      </c>
      <c r="U33" s="2">
        <f t="shared" si="4"/>
        <v>73312.2</v>
      </c>
      <c r="V33" s="2">
        <f t="shared" si="5"/>
        <v>73456.2</v>
      </c>
      <c r="W33" s="2">
        <f t="shared" si="6"/>
        <v>74454.8</v>
      </c>
      <c r="X33" s="2">
        <f t="shared" si="7"/>
        <v>73586.600000000006</v>
      </c>
      <c r="Y33" s="2">
        <f t="shared" si="8"/>
        <v>220.14</v>
      </c>
      <c r="Z33" s="2">
        <f t="shared" si="9"/>
        <v>214.41</v>
      </c>
      <c r="AA33" s="2">
        <f t="shared" si="10"/>
        <v>214.55</v>
      </c>
      <c r="AB33" s="2">
        <f t="shared" si="11"/>
        <v>222.11</v>
      </c>
      <c r="AC33" s="2">
        <f t="shared" si="12"/>
        <v>218.47</v>
      </c>
      <c r="AD33" s="1">
        <f t="shared" si="13"/>
        <v>1.0471080265142521</v>
      </c>
      <c r="AE33" s="1">
        <f t="shared" si="14"/>
        <v>0.85204459977163161</v>
      </c>
      <c r="AF33" s="13" t="s">
        <v>22</v>
      </c>
      <c r="AG33" s="2"/>
    </row>
    <row r="34" spans="1:33">
      <c r="A34" t="s">
        <v>41</v>
      </c>
      <c r="B34" s="12">
        <f t="shared" ref="B34:G34" si="18">AVERAGE(B28:B33)</f>
        <v>35.49349999999999</v>
      </c>
      <c r="C34" s="12">
        <f t="shared" si="18"/>
        <v>83.771416666666667</v>
      </c>
      <c r="D34" s="12">
        <f t="shared" si="18"/>
        <v>53.014333333333326</v>
      </c>
      <c r="E34" s="12">
        <f t="shared" si="18"/>
        <v>56.491500000000002</v>
      </c>
      <c r="F34" s="12">
        <f t="shared" si="18"/>
        <v>52.191583333333334</v>
      </c>
      <c r="G34" s="12">
        <f t="shared" si="18"/>
        <v>79.397750000000002</v>
      </c>
      <c r="N34" s="13"/>
      <c r="O34" s="13" t="s">
        <v>18</v>
      </c>
      <c r="P34" s="13" t="s">
        <v>21</v>
      </c>
      <c r="Q34" s="22">
        <f t="shared" si="0"/>
        <v>75006.75999999998</v>
      </c>
      <c r="R34" s="22">
        <f t="shared" si="1"/>
        <v>240.10599999999999</v>
      </c>
      <c r="S34" s="16">
        <f t="shared" si="2"/>
        <v>39.996394991598102</v>
      </c>
      <c r="T34" s="2">
        <f t="shared" si="3"/>
        <v>75689.399999999994</v>
      </c>
      <c r="U34" s="2">
        <f t="shared" si="4"/>
        <v>74814</v>
      </c>
      <c r="V34" s="2">
        <f t="shared" si="5"/>
        <v>74489.7</v>
      </c>
      <c r="W34" s="2">
        <f t="shared" si="6"/>
        <v>74618.3</v>
      </c>
      <c r="X34" s="2">
        <f t="shared" si="7"/>
        <v>75422.399999999994</v>
      </c>
      <c r="Y34" s="2">
        <f t="shared" si="8"/>
        <v>233.07</v>
      </c>
      <c r="Z34" s="2">
        <f t="shared" si="9"/>
        <v>243.32</v>
      </c>
      <c r="AA34" s="2">
        <f t="shared" si="10"/>
        <v>239.96</v>
      </c>
      <c r="AB34" s="2">
        <f t="shared" si="11"/>
        <v>236.71</v>
      </c>
      <c r="AC34" s="2">
        <f t="shared" si="12"/>
        <v>247.47</v>
      </c>
      <c r="AD34" s="1">
        <f t="shared" si="13"/>
        <v>0.92355666066925113</v>
      </c>
      <c r="AE34" s="1">
        <f t="shared" si="14"/>
        <v>1.4009913900520587</v>
      </c>
      <c r="AF34" s="13" t="s">
        <v>21</v>
      </c>
    </row>
    <row r="35" spans="1:33">
      <c r="A35" t="s">
        <v>40</v>
      </c>
      <c r="B35">
        <v>4</v>
      </c>
      <c r="N35" s="13"/>
      <c r="O35" s="13" t="s">
        <v>18</v>
      </c>
      <c r="P35" s="13" t="s">
        <v>20</v>
      </c>
      <c r="Q35" s="22">
        <f t="shared" si="0"/>
        <v>76304.600000000006</v>
      </c>
      <c r="R35" s="22">
        <f t="shared" si="1"/>
        <v>228.57599999999996</v>
      </c>
      <c r="S35" s="16">
        <f t="shared" si="2"/>
        <v>39.316109382658446</v>
      </c>
      <c r="T35" s="2">
        <f t="shared" si="3"/>
        <v>76502</v>
      </c>
      <c r="U35" s="2">
        <f t="shared" si="4"/>
        <v>76265.3</v>
      </c>
      <c r="V35" s="2">
        <f t="shared" si="5"/>
        <v>76227</v>
      </c>
      <c r="W35" s="2">
        <f t="shared" si="6"/>
        <v>76657</v>
      </c>
      <c r="X35" s="2">
        <f t="shared" si="7"/>
        <v>75871.7</v>
      </c>
      <c r="Y35" s="2">
        <f t="shared" si="8"/>
        <v>226.39</v>
      </c>
      <c r="Z35" s="2">
        <f t="shared" si="9"/>
        <v>231.34</v>
      </c>
      <c r="AA35" s="2">
        <f t="shared" si="10"/>
        <v>231.42</v>
      </c>
      <c r="AB35" s="2">
        <f t="shared" si="11"/>
        <v>229.2</v>
      </c>
      <c r="AC35" s="2">
        <f t="shared" si="12"/>
        <v>224.53</v>
      </c>
      <c r="AD35" s="1">
        <f t="shared" si="13"/>
        <v>0.59872100786513671</v>
      </c>
      <c r="AE35" s="1">
        <f t="shared" si="14"/>
        <v>0.76307478336005818</v>
      </c>
      <c r="AF35" s="13" t="s">
        <v>20</v>
      </c>
    </row>
    <row r="36" spans="1:33">
      <c r="N36" s="13"/>
      <c r="O36" s="13" t="s">
        <v>18</v>
      </c>
      <c r="P36" s="13" t="s">
        <v>19</v>
      </c>
      <c r="Q36" s="22">
        <f t="shared" si="0"/>
        <v>77387.840000000011</v>
      </c>
      <c r="R36" s="22">
        <f t="shared" si="1"/>
        <v>321.30999999999995</v>
      </c>
      <c r="S36" s="16">
        <f t="shared" si="2"/>
        <v>38.765780256949924</v>
      </c>
      <c r="T36" s="2">
        <f t="shared" si="3"/>
        <v>77794.600000000006</v>
      </c>
      <c r="U36" s="2">
        <f t="shared" si="4"/>
        <v>77080.3</v>
      </c>
      <c r="V36" s="2">
        <f t="shared" si="5"/>
        <v>76898.7</v>
      </c>
      <c r="W36" s="2">
        <f t="shared" si="6"/>
        <v>77372.5</v>
      </c>
      <c r="X36" s="2">
        <f t="shared" si="7"/>
        <v>77793.100000000006</v>
      </c>
      <c r="Y36" s="2">
        <f t="shared" si="8"/>
        <v>316.72000000000003</v>
      </c>
      <c r="Z36" s="2">
        <f t="shared" si="9"/>
        <v>324.83999999999997</v>
      </c>
      <c r="AA36" s="2">
        <f t="shared" si="10"/>
        <v>322.14</v>
      </c>
      <c r="AB36" s="2">
        <f t="shared" si="11"/>
        <v>317.2</v>
      </c>
      <c r="AC36" s="2">
        <f t="shared" si="12"/>
        <v>325.64999999999998</v>
      </c>
      <c r="AD36" s="1">
        <f t="shared" si="13"/>
        <v>0.95578071801575359</v>
      </c>
      <c r="AE36" s="1">
        <f t="shared" si="14"/>
        <v>1.0454185764563357</v>
      </c>
      <c r="AF36" s="13" t="s">
        <v>19</v>
      </c>
    </row>
    <row r="37" spans="1:33">
      <c r="N37" s="18">
        <f>MAX(S32:S37)</f>
        <v>43.157047344431795</v>
      </c>
      <c r="O37" s="13" t="s">
        <v>18</v>
      </c>
      <c r="P37" s="13" t="s">
        <v>17</v>
      </c>
      <c r="Q37" s="22">
        <f t="shared" si="0"/>
        <v>72488.2</v>
      </c>
      <c r="R37" s="22">
        <f t="shared" si="1"/>
        <v>155.65600000000001</v>
      </c>
      <c r="S37" s="16">
        <f t="shared" si="2"/>
        <v>41.386046280636023</v>
      </c>
      <c r="T37" s="2">
        <f t="shared" si="3"/>
        <v>72820.2</v>
      </c>
      <c r="U37" s="2">
        <f t="shared" si="4"/>
        <v>72777.5</v>
      </c>
      <c r="V37" s="2">
        <f t="shared" si="5"/>
        <v>72708.3</v>
      </c>
      <c r="W37" s="2">
        <f t="shared" si="6"/>
        <v>72148.399999999994</v>
      </c>
      <c r="X37" s="2">
        <f t="shared" si="7"/>
        <v>71986.600000000006</v>
      </c>
      <c r="Y37" s="2">
        <f t="shared" si="8"/>
        <v>152.36000000000001</v>
      </c>
      <c r="Z37" s="2">
        <f t="shared" si="9"/>
        <v>155.28</v>
      </c>
      <c r="AA37" s="2">
        <f t="shared" si="10"/>
        <v>160.29</v>
      </c>
      <c r="AB37" s="2">
        <f t="shared" si="11"/>
        <v>153.52000000000001</v>
      </c>
      <c r="AC37" s="2">
        <f t="shared" si="12"/>
        <v>156.83000000000001</v>
      </c>
      <c r="AD37" s="1">
        <f t="shared" si="13"/>
        <v>0</v>
      </c>
      <c r="AE37" s="1">
        <f t="shared" si="14"/>
        <v>0.7747955375452269</v>
      </c>
      <c r="AF37" s="13" t="s">
        <v>17</v>
      </c>
    </row>
    <row r="38" spans="1:33">
      <c r="S38" s="2"/>
    </row>
    <row r="39" spans="1:33">
      <c r="A39" s="17" t="s">
        <v>39</v>
      </c>
      <c r="C39" t="s">
        <v>38</v>
      </c>
      <c r="D39" t="s">
        <v>37</v>
      </c>
      <c r="E39" t="s">
        <v>36</v>
      </c>
      <c r="F39" t="s">
        <v>35</v>
      </c>
      <c r="G39" t="s">
        <v>34</v>
      </c>
      <c r="K39" s="2"/>
      <c r="L39" s="5"/>
      <c r="M39" s="5"/>
      <c r="N39" s="5"/>
      <c r="O39" s="2"/>
      <c r="P39" s="2"/>
      <c r="S39" s="2"/>
    </row>
    <row r="40" spans="1:33">
      <c r="A40" s="13" t="s">
        <v>28</v>
      </c>
      <c r="B40" s="13" t="s">
        <v>23</v>
      </c>
      <c r="C40" s="11">
        <v>72952</v>
      </c>
      <c r="D40" s="11">
        <v>73545.399999999994</v>
      </c>
      <c r="E40" s="11">
        <v>72916.7</v>
      </c>
      <c r="F40" s="11">
        <v>73568.399999999994</v>
      </c>
      <c r="G40" s="11">
        <v>73520.2</v>
      </c>
      <c r="H40" s="20" t="s">
        <v>33</v>
      </c>
      <c r="K40" s="2"/>
      <c r="L40" s="5"/>
      <c r="M40" s="5"/>
      <c r="N40" s="5"/>
      <c r="O40" s="2"/>
      <c r="P40" s="2"/>
      <c r="R40" s="13"/>
      <c r="S40" s="16" t="s">
        <v>32</v>
      </c>
      <c r="T40" s="13"/>
      <c r="U40" s="13"/>
      <c r="V40" s="13"/>
      <c r="W40" s="13"/>
      <c r="X40" s="13"/>
      <c r="Y40" s="13"/>
      <c r="Z40" s="13"/>
      <c r="AA40" s="13"/>
      <c r="AB40" s="13"/>
      <c r="AC40" s="13"/>
    </row>
    <row r="41" spans="1:33">
      <c r="A41" s="13" t="s">
        <v>28</v>
      </c>
      <c r="B41" s="13" t="s">
        <v>31</v>
      </c>
      <c r="C41" s="11">
        <v>78244.2</v>
      </c>
      <c r="D41" s="11">
        <v>78231.100000000006</v>
      </c>
      <c r="E41" s="11">
        <v>77276</v>
      </c>
      <c r="F41" s="11">
        <v>77338.5</v>
      </c>
      <c r="G41" s="11">
        <v>77271</v>
      </c>
      <c r="H41" s="20"/>
      <c r="K41" s="2"/>
      <c r="L41" s="5"/>
      <c r="M41" s="5"/>
      <c r="N41" s="5"/>
      <c r="O41" s="2"/>
      <c r="P41" s="2"/>
      <c r="R41" s="13" t="s">
        <v>28</v>
      </c>
      <c r="S41" s="13" t="s">
        <v>23</v>
      </c>
      <c r="T41" s="14">
        <f t="shared" ref="T41:X46" si="19">T2/T$7*100</f>
        <v>94.829188650966671</v>
      </c>
      <c r="U41" s="14">
        <f t="shared" si="19"/>
        <v>95.769098047386208</v>
      </c>
      <c r="V41" s="14">
        <f t="shared" si="19"/>
        <v>94.376134130967699</v>
      </c>
      <c r="W41" s="14">
        <f t="shared" si="19"/>
        <v>97.073609707308179</v>
      </c>
      <c r="X41" s="14">
        <f t="shared" si="19"/>
        <v>96.351193378101399</v>
      </c>
      <c r="Y41" s="14">
        <f t="shared" ref="Y41:AC50" si="20">Y2/$B$35</f>
        <v>80.38</v>
      </c>
      <c r="Z41" s="14">
        <f t="shared" si="20"/>
        <v>80.91</v>
      </c>
      <c r="AA41" s="14">
        <f t="shared" si="20"/>
        <v>79.834999999999994</v>
      </c>
      <c r="AB41" s="14">
        <f t="shared" si="20"/>
        <v>82.43</v>
      </c>
      <c r="AC41" s="14">
        <f t="shared" si="20"/>
        <v>80.962500000000006</v>
      </c>
    </row>
    <row r="42" spans="1:33">
      <c r="A42" s="13" t="s">
        <v>28</v>
      </c>
      <c r="B42" s="13" t="s">
        <v>21</v>
      </c>
      <c r="C42" s="11">
        <v>79530.7</v>
      </c>
      <c r="D42" s="11">
        <v>79758.5</v>
      </c>
      <c r="E42" s="11">
        <v>79026.100000000006</v>
      </c>
      <c r="F42" s="11">
        <v>79519.7</v>
      </c>
      <c r="G42" s="11">
        <v>80822.5</v>
      </c>
      <c r="H42" s="20"/>
      <c r="K42" s="2"/>
      <c r="L42" s="5"/>
      <c r="M42" s="5"/>
      <c r="N42" s="5"/>
      <c r="O42" s="2"/>
      <c r="P42" s="2"/>
      <c r="R42" s="13" t="s">
        <v>28</v>
      </c>
      <c r="S42" s="13" t="s">
        <v>22</v>
      </c>
      <c r="T42" s="14">
        <f t="shared" si="19"/>
        <v>101.70843846150848</v>
      </c>
      <c r="U42" s="14">
        <f t="shared" si="19"/>
        <v>101.8707068865609</v>
      </c>
      <c r="V42" s="14">
        <f t="shared" si="19"/>
        <v>100.01837906960489</v>
      </c>
      <c r="W42" s="14">
        <f t="shared" si="19"/>
        <v>102.04826208465394</v>
      </c>
      <c r="X42" s="14">
        <f t="shared" si="19"/>
        <v>101.26676836460284</v>
      </c>
      <c r="Y42" s="14">
        <f t="shared" si="20"/>
        <v>53.555</v>
      </c>
      <c r="Z42" s="14">
        <f t="shared" si="20"/>
        <v>54.825000000000003</v>
      </c>
      <c r="AA42" s="14">
        <f t="shared" si="20"/>
        <v>53.372500000000002</v>
      </c>
      <c r="AB42" s="14">
        <f t="shared" si="20"/>
        <v>51.524999999999999</v>
      </c>
      <c r="AC42" s="14">
        <f t="shared" si="20"/>
        <v>54.75</v>
      </c>
    </row>
    <row r="43" spans="1:33">
      <c r="A43" s="13" t="s">
        <v>28</v>
      </c>
      <c r="B43" s="13" t="s">
        <v>20</v>
      </c>
      <c r="C43" s="11">
        <v>80962.899999999994</v>
      </c>
      <c r="D43" s="11">
        <v>81076.800000000003</v>
      </c>
      <c r="E43" s="11">
        <v>81121.3</v>
      </c>
      <c r="F43" s="11">
        <v>79965.899999999994</v>
      </c>
      <c r="G43" s="11">
        <v>79689.899999999994</v>
      </c>
      <c r="H43" s="20"/>
      <c r="K43" s="2"/>
      <c r="L43" s="5"/>
      <c r="M43" s="5"/>
      <c r="N43" s="5"/>
      <c r="O43" s="2"/>
      <c r="P43" s="2"/>
      <c r="R43" s="13" t="s">
        <v>28</v>
      </c>
      <c r="S43" s="13" t="s">
        <v>21</v>
      </c>
      <c r="T43" s="14">
        <f t="shared" si="19"/>
        <v>103.38074012835061</v>
      </c>
      <c r="U43" s="14">
        <f t="shared" si="19"/>
        <v>103.85965140732736</v>
      </c>
      <c r="V43" s="14">
        <f t="shared" si="19"/>
        <v>102.28353468337524</v>
      </c>
      <c r="W43" s="14">
        <f t="shared" si="19"/>
        <v>104.92635862465727</v>
      </c>
      <c r="X43" s="14">
        <f t="shared" si="19"/>
        <v>105.92115264650532</v>
      </c>
      <c r="Y43" s="14">
        <f t="shared" si="20"/>
        <v>57.752499999999998</v>
      </c>
      <c r="Z43" s="14">
        <f t="shared" si="20"/>
        <v>60.017499999999998</v>
      </c>
      <c r="AA43" s="14">
        <f t="shared" si="20"/>
        <v>60.83</v>
      </c>
      <c r="AB43" s="14">
        <f t="shared" si="20"/>
        <v>58.822499999999998</v>
      </c>
      <c r="AC43" s="14">
        <f t="shared" si="20"/>
        <v>58.41</v>
      </c>
    </row>
    <row r="44" spans="1:33">
      <c r="A44" s="13" t="s">
        <v>28</v>
      </c>
      <c r="B44" s="13" t="s">
        <v>19</v>
      </c>
      <c r="C44" s="11">
        <v>81765.7</v>
      </c>
      <c r="D44" s="11">
        <v>82356.3</v>
      </c>
      <c r="E44" s="11">
        <v>81123.7</v>
      </c>
      <c r="F44" s="11">
        <v>82421.2</v>
      </c>
      <c r="G44" s="11">
        <v>82364.800000000003</v>
      </c>
      <c r="H44" s="20"/>
      <c r="K44" s="2"/>
      <c r="L44" s="5"/>
      <c r="M44" s="5"/>
      <c r="N44" s="5"/>
      <c r="O44" s="2"/>
      <c r="P44" s="2"/>
      <c r="R44" s="13" t="s">
        <v>28</v>
      </c>
      <c r="S44" s="13" t="s">
        <v>20</v>
      </c>
      <c r="T44" s="14">
        <f t="shared" si="19"/>
        <v>105.24243499601585</v>
      </c>
      <c r="U44" s="14">
        <f t="shared" si="19"/>
        <v>105.57631080350806</v>
      </c>
      <c r="V44" s="14">
        <f t="shared" si="19"/>
        <v>104.99535346057172</v>
      </c>
      <c r="W44" s="14">
        <f t="shared" si="19"/>
        <v>105.51512016699608</v>
      </c>
      <c r="X44" s="14">
        <f t="shared" si="19"/>
        <v>104.43683457310458</v>
      </c>
      <c r="Y44" s="14">
        <f t="shared" si="20"/>
        <v>52.817500000000003</v>
      </c>
      <c r="Z44" s="14">
        <f t="shared" si="20"/>
        <v>54.325000000000003</v>
      </c>
      <c r="AA44" s="14">
        <f t="shared" si="20"/>
        <v>54.39</v>
      </c>
      <c r="AB44" s="14">
        <f t="shared" si="20"/>
        <v>53.454999999999998</v>
      </c>
      <c r="AC44" s="14">
        <f t="shared" si="20"/>
        <v>54.337499999999999</v>
      </c>
    </row>
    <row r="45" spans="1:33">
      <c r="A45" s="13" t="s">
        <v>28</v>
      </c>
      <c r="B45" s="13" t="s">
        <v>17</v>
      </c>
      <c r="C45" s="11">
        <v>76929.899999999994</v>
      </c>
      <c r="D45" s="11">
        <v>76794.5</v>
      </c>
      <c r="E45" s="11">
        <v>77261.8</v>
      </c>
      <c r="F45" s="11">
        <v>75786.2</v>
      </c>
      <c r="G45" s="11">
        <v>76304.399999999994</v>
      </c>
      <c r="H45" s="20"/>
      <c r="K45" s="2"/>
      <c r="L45" s="5"/>
      <c r="M45" s="5"/>
      <c r="N45" s="5"/>
      <c r="O45" s="2"/>
      <c r="P45" s="2"/>
      <c r="R45" s="13" t="s">
        <v>28</v>
      </c>
      <c r="S45" s="13" t="s">
        <v>19</v>
      </c>
      <c r="T45" s="14">
        <f t="shared" si="19"/>
        <v>106.28598243335816</v>
      </c>
      <c r="U45" s="14">
        <f t="shared" si="19"/>
        <v>107.24244574806789</v>
      </c>
      <c r="V45" s="14">
        <f t="shared" si="19"/>
        <v>104.99845978219507</v>
      </c>
      <c r="W45" s="14">
        <f t="shared" si="19"/>
        <v>108.75489205158723</v>
      </c>
      <c r="X45" s="14">
        <f t="shared" si="19"/>
        <v>107.94239912770432</v>
      </c>
      <c r="Y45" s="14">
        <f t="shared" si="20"/>
        <v>75.022499999999994</v>
      </c>
      <c r="Z45" s="14">
        <f t="shared" si="20"/>
        <v>77.857500000000002</v>
      </c>
      <c r="AA45" s="14">
        <f t="shared" si="20"/>
        <v>79.58</v>
      </c>
      <c r="AB45" s="14">
        <f t="shared" si="20"/>
        <v>80.784999999999997</v>
      </c>
      <c r="AC45" s="14">
        <f t="shared" si="20"/>
        <v>73.905000000000001</v>
      </c>
    </row>
    <row r="46" spans="1:33">
      <c r="A46" s="13" t="s">
        <v>27</v>
      </c>
      <c r="B46" s="13" t="s">
        <v>23</v>
      </c>
      <c r="C46" s="11">
        <v>98176.7</v>
      </c>
      <c r="D46" s="11">
        <v>98107.1</v>
      </c>
      <c r="E46" s="11">
        <v>98536.8</v>
      </c>
      <c r="F46" s="11">
        <v>98239.8</v>
      </c>
      <c r="G46" s="11">
        <v>97661.7</v>
      </c>
      <c r="H46" s="20"/>
      <c r="K46" s="2"/>
      <c r="L46" s="5"/>
      <c r="M46" s="5"/>
      <c r="N46" s="5"/>
      <c r="O46" s="2"/>
      <c r="P46" s="2"/>
      <c r="R46" s="13" t="s">
        <v>28</v>
      </c>
      <c r="S46" s="13" t="s">
        <v>17</v>
      </c>
      <c r="T46" s="14">
        <f t="shared" si="19"/>
        <v>100</v>
      </c>
      <c r="U46" s="14">
        <f t="shared" si="19"/>
        <v>100</v>
      </c>
      <c r="V46" s="14">
        <f t="shared" si="19"/>
        <v>100</v>
      </c>
      <c r="W46" s="14">
        <f t="shared" si="19"/>
        <v>100</v>
      </c>
      <c r="X46" s="14">
        <f t="shared" si="19"/>
        <v>100</v>
      </c>
      <c r="Y46" s="14">
        <f t="shared" si="20"/>
        <v>35.542499999999997</v>
      </c>
      <c r="Z46" s="14">
        <f t="shared" si="20"/>
        <v>35.82</v>
      </c>
      <c r="AA46" s="14">
        <f t="shared" si="20"/>
        <v>35.332500000000003</v>
      </c>
      <c r="AB46" s="14">
        <f t="shared" si="20"/>
        <v>36.895000000000003</v>
      </c>
      <c r="AC46" s="14">
        <f t="shared" si="20"/>
        <v>35.104999999999997</v>
      </c>
    </row>
    <row r="47" spans="1:33">
      <c r="A47" s="13" t="s">
        <v>27</v>
      </c>
      <c r="B47" s="13" t="s">
        <v>31</v>
      </c>
      <c r="C47" s="11">
        <v>102576</v>
      </c>
      <c r="D47" s="11">
        <v>102578</v>
      </c>
      <c r="E47" s="11">
        <v>102409</v>
      </c>
      <c r="F47" s="11">
        <v>102504</v>
      </c>
      <c r="G47" s="11">
        <v>101377</v>
      </c>
      <c r="H47" s="20"/>
      <c r="K47" s="2"/>
      <c r="L47" s="5"/>
      <c r="M47" s="5"/>
      <c r="N47" s="5"/>
      <c r="O47" s="2"/>
      <c r="P47" s="2"/>
      <c r="R47" s="13" t="s">
        <v>27</v>
      </c>
      <c r="S47" s="13" t="s">
        <v>23</v>
      </c>
      <c r="T47" s="14">
        <f t="shared" ref="T47:X52" si="21">T8/T$13*100</f>
        <v>98.746069838689891</v>
      </c>
      <c r="U47" s="14">
        <f t="shared" si="21"/>
        <v>98.473915334621481</v>
      </c>
      <c r="V47" s="14">
        <f t="shared" si="21"/>
        <v>99.052666286017583</v>
      </c>
      <c r="W47" s="14">
        <f t="shared" si="21"/>
        <v>98.544005344498458</v>
      </c>
      <c r="X47" s="14">
        <f t="shared" si="21"/>
        <v>98.227391547924498</v>
      </c>
      <c r="Y47" s="14">
        <f t="shared" si="20"/>
        <v>84.052499999999995</v>
      </c>
      <c r="Z47" s="14">
        <f t="shared" si="20"/>
        <v>81.709999999999994</v>
      </c>
      <c r="AA47" s="14">
        <f t="shared" si="20"/>
        <v>84.73</v>
      </c>
      <c r="AB47" s="14">
        <f t="shared" si="20"/>
        <v>82.01</v>
      </c>
      <c r="AC47" s="14">
        <f t="shared" si="20"/>
        <v>86.77</v>
      </c>
    </row>
    <row r="48" spans="1:33">
      <c r="A48" s="13" t="s">
        <v>27</v>
      </c>
      <c r="B48" s="13" t="s">
        <v>21</v>
      </c>
      <c r="C48" s="11">
        <v>105218</v>
      </c>
      <c r="D48" s="11">
        <v>105022</v>
      </c>
      <c r="E48" s="11">
        <v>103772</v>
      </c>
      <c r="F48" s="11">
        <v>103240</v>
      </c>
      <c r="G48" s="11">
        <v>103893</v>
      </c>
      <c r="H48" s="20"/>
      <c r="K48" s="2"/>
      <c r="L48" s="5"/>
      <c r="M48" s="5"/>
      <c r="N48" s="5"/>
      <c r="O48" s="2"/>
      <c r="P48" s="2"/>
      <c r="R48" s="13" t="s">
        <v>27</v>
      </c>
      <c r="S48" s="13" t="s">
        <v>22</v>
      </c>
      <c r="T48" s="14">
        <f t="shared" si="21"/>
        <v>103.17088331318382</v>
      </c>
      <c r="U48" s="14">
        <f t="shared" si="21"/>
        <v>102.96153170560338</v>
      </c>
      <c r="V48" s="14">
        <f t="shared" si="21"/>
        <v>102.94513828016309</v>
      </c>
      <c r="W48" s="14">
        <f t="shared" si="21"/>
        <v>102.82140969171833</v>
      </c>
      <c r="X48" s="14">
        <f t="shared" si="21"/>
        <v>101.96421189631084</v>
      </c>
      <c r="Y48" s="14">
        <f t="shared" si="20"/>
        <v>50.244999999999997</v>
      </c>
      <c r="Z48" s="14">
        <f t="shared" si="20"/>
        <v>50.282499999999999</v>
      </c>
      <c r="AA48" s="14">
        <f t="shared" si="20"/>
        <v>48.634999999999998</v>
      </c>
      <c r="AB48" s="14">
        <f t="shared" si="20"/>
        <v>48.177500000000002</v>
      </c>
      <c r="AC48" s="14">
        <f t="shared" si="20"/>
        <v>50.322499999999998</v>
      </c>
    </row>
    <row r="49" spans="1:29">
      <c r="A49" s="13" t="s">
        <v>27</v>
      </c>
      <c r="B49" s="13" t="s">
        <v>20</v>
      </c>
      <c r="C49" s="11">
        <v>104916</v>
      </c>
      <c r="D49" s="11">
        <v>104943</v>
      </c>
      <c r="E49" s="11">
        <v>105565</v>
      </c>
      <c r="F49" s="11">
        <v>105856</v>
      </c>
      <c r="G49" s="11">
        <v>104886</v>
      </c>
      <c r="H49" s="20"/>
      <c r="K49" s="2"/>
      <c r="L49" s="5"/>
      <c r="M49" s="5"/>
      <c r="N49" s="5"/>
      <c r="O49" s="2"/>
      <c r="P49" s="2"/>
      <c r="R49" s="13" t="s">
        <v>27</v>
      </c>
      <c r="S49" s="13" t="s">
        <v>21</v>
      </c>
      <c r="T49" s="14">
        <f t="shared" si="21"/>
        <v>105.82820543252393</v>
      </c>
      <c r="U49" s="14">
        <f t="shared" si="21"/>
        <v>105.4146696444255</v>
      </c>
      <c r="V49" s="14">
        <f t="shared" si="21"/>
        <v>104.3152739467145</v>
      </c>
      <c r="W49" s="14">
        <f t="shared" si="21"/>
        <v>103.55968875919966</v>
      </c>
      <c r="X49" s="14">
        <f t="shared" si="21"/>
        <v>104.49478546951896</v>
      </c>
      <c r="Y49" s="14">
        <f t="shared" si="20"/>
        <v>52.465000000000003</v>
      </c>
      <c r="Z49" s="14">
        <f t="shared" si="20"/>
        <v>53.674999999999997</v>
      </c>
      <c r="AA49" s="14">
        <f t="shared" si="20"/>
        <v>51.127499999999998</v>
      </c>
      <c r="AB49" s="14">
        <f t="shared" si="20"/>
        <v>51.067500000000003</v>
      </c>
      <c r="AC49" s="14">
        <f t="shared" si="20"/>
        <v>53.475000000000001</v>
      </c>
    </row>
    <row r="50" spans="1:29">
      <c r="A50" s="13" t="s">
        <v>27</v>
      </c>
      <c r="B50" s="13" t="s">
        <v>19</v>
      </c>
      <c r="C50" s="11">
        <v>108386</v>
      </c>
      <c r="D50" s="11">
        <v>108183</v>
      </c>
      <c r="E50" s="11">
        <v>107998</v>
      </c>
      <c r="F50" s="11">
        <v>107821</v>
      </c>
      <c r="G50" s="11">
        <v>108210</v>
      </c>
      <c r="H50" s="20"/>
      <c r="K50" s="2"/>
      <c r="L50" s="5"/>
      <c r="M50" s="5"/>
      <c r="N50" s="5"/>
      <c r="O50" s="2"/>
      <c r="P50" s="2"/>
      <c r="R50" s="13" t="s">
        <v>27</v>
      </c>
      <c r="S50" s="13" t="s">
        <v>20</v>
      </c>
      <c r="T50" s="14">
        <f t="shared" si="21"/>
        <v>105.52445400177423</v>
      </c>
      <c r="U50" s="14">
        <f t="shared" si="21"/>
        <v>105.33537426915261</v>
      </c>
      <c r="V50" s="14">
        <f t="shared" si="21"/>
        <v>106.11766077732834</v>
      </c>
      <c r="W50" s="14">
        <f t="shared" si="21"/>
        <v>106.18378935774737</v>
      </c>
      <c r="X50" s="14">
        <f t="shared" si="21"/>
        <v>105.49353728120244</v>
      </c>
      <c r="Y50" s="14">
        <f t="shared" si="20"/>
        <v>46.56</v>
      </c>
      <c r="Z50" s="14">
        <f t="shared" si="20"/>
        <v>44.607500000000002</v>
      </c>
      <c r="AA50" s="14">
        <f t="shared" si="20"/>
        <v>47.8</v>
      </c>
      <c r="AB50" s="14">
        <f t="shared" si="20"/>
        <v>45.14</v>
      </c>
      <c r="AC50" s="14">
        <f t="shared" si="20"/>
        <v>45.172499999999999</v>
      </c>
    </row>
    <row r="51" spans="1:29">
      <c r="A51" s="13" t="s">
        <v>27</v>
      </c>
      <c r="B51" s="13" t="s">
        <v>17</v>
      </c>
      <c r="C51" s="11">
        <v>99423.4</v>
      </c>
      <c r="D51" s="11">
        <v>99627.5</v>
      </c>
      <c r="E51" s="11">
        <v>99479.2</v>
      </c>
      <c r="F51" s="11">
        <v>99691.3</v>
      </c>
      <c r="G51" s="11">
        <v>99424.1</v>
      </c>
      <c r="H51" s="20"/>
      <c r="K51" s="2"/>
      <c r="L51" s="5"/>
      <c r="M51" s="5"/>
      <c r="N51" s="5"/>
      <c r="O51" s="2"/>
      <c r="P51" s="2"/>
      <c r="R51" s="13" t="s">
        <v>27</v>
      </c>
      <c r="S51" s="13" t="s">
        <v>19</v>
      </c>
      <c r="T51" s="14">
        <f t="shared" si="21"/>
        <v>109.0145780570771</v>
      </c>
      <c r="U51" s="14">
        <f t="shared" si="21"/>
        <v>108.58748839426866</v>
      </c>
      <c r="V51" s="14">
        <f t="shared" si="21"/>
        <v>108.56339817770953</v>
      </c>
      <c r="W51" s="14">
        <f t="shared" si="21"/>
        <v>108.15487409633538</v>
      </c>
      <c r="X51" s="14">
        <f t="shared" si="21"/>
        <v>108.83679107982873</v>
      </c>
      <c r="Y51" s="14">
        <f t="shared" ref="Y51:AC60" si="22">Y12/$B$35</f>
        <v>75.47</v>
      </c>
      <c r="Z51" s="14">
        <f t="shared" si="22"/>
        <v>82.155000000000001</v>
      </c>
      <c r="AA51" s="14">
        <f t="shared" si="22"/>
        <v>82.542500000000004</v>
      </c>
      <c r="AB51" s="14">
        <f t="shared" si="22"/>
        <v>77.864999999999995</v>
      </c>
      <c r="AC51" s="14">
        <f t="shared" si="22"/>
        <v>82.942499999999995</v>
      </c>
    </row>
    <row r="52" spans="1:29">
      <c r="A52" s="13" t="s">
        <v>26</v>
      </c>
      <c r="B52" s="13" t="s">
        <v>23</v>
      </c>
      <c r="C52" s="11">
        <v>81551.8</v>
      </c>
      <c r="D52" s="11">
        <v>81559.399999999994</v>
      </c>
      <c r="E52" s="11">
        <v>81211.600000000006</v>
      </c>
      <c r="F52" s="11">
        <v>81025.2</v>
      </c>
      <c r="G52" s="11">
        <v>81035.899999999994</v>
      </c>
      <c r="H52" s="20"/>
      <c r="K52" s="2"/>
      <c r="L52" s="5"/>
      <c r="M52" s="5"/>
      <c r="N52" s="5"/>
      <c r="O52" s="2"/>
      <c r="P52" s="2"/>
      <c r="R52" s="13" t="s">
        <v>27</v>
      </c>
      <c r="S52" s="13" t="s">
        <v>17</v>
      </c>
      <c r="T52" s="14">
        <f t="shared" si="21"/>
        <v>100</v>
      </c>
      <c r="U52" s="14">
        <f t="shared" si="21"/>
        <v>100</v>
      </c>
      <c r="V52" s="14">
        <f t="shared" si="21"/>
        <v>100</v>
      </c>
      <c r="W52" s="14">
        <f t="shared" si="21"/>
        <v>100</v>
      </c>
      <c r="X52" s="14">
        <f t="shared" si="21"/>
        <v>100</v>
      </c>
      <c r="Y52" s="14">
        <f t="shared" si="22"/>
        <v>30.607500000000002</v>
      </c>
      <c r="Z52" s="14">
        <f t="shared" si="22"/>
        <v>28.642499999999998</v>
      </c>
      <c r="AA52" s="14">
        <f t="shared" si="22"/>
        <v>29.035</v>
      </c>
      <c r="AB52" s="14">
        <f t="shared" si="22"/>
        <v>29.557500000000001</v>
      </c>
      <c r="AC52" s="14">
        <f t="shared" si="22"/>
        <v>29.42</v>
      </c>
    </row>
    <row r="53" spans="1:29">
      <c r="A53" s="13" t="s">
        <v>26</v>
      </c>
      <c r="B53" s="13" t="s">
        <v>31</v>
      </c>
      <c r="C53" s="11">
        <v>86215.3</v>
      </c>
      <c r="D53" s="11">
        <v>85455.5</v>
      </c>
      <c r="E53" s="11">
        <v>86099</v>
      </c>
      <c r="F53" s="11">
        <v>85855.3</v>
      </c>
      <c r="G53" s="11">
        <v>85409</v>
      </c>
      <c r="H53" s="20"/>
      <c r="K53" s="2"/>
      <c r="L53" s="5"/>
      <c r="M53" s="5"/>
      <c r="N53" s="5"/>
      <c r="O53" s="2"/>
      <c r="P53" s="2"/>
      <c r="R53" s="13" t="s">
        <v>26</v>
      </c>
      <c r="S53" s="13" t="s">
        <v>23</v>
      </c>
      <c r="T53" s="14">
        <f t="shared" ref="T53:X58" si="23">T14/T$19*100</f>
        <v>98.740436433993068</v>
      </c>
      <c r="U53" s="14">
        <f t="shared" si="23"/>
        <v>98.796888286983076</v>
      </c>
      <c r="V53" s="14">
        <f t="shared" si="23"/>
        <v>98.403235695400681</v>
      </c>
      <c r="W53" s="14">
        <f t="shared" si="23"/>
        <v>99.18679879299053</v>
      </c>
      <c r="X53" s="14">
        <f t="shared" si="23"/>
        <v>98.887339119950894</v>
      </c>
      <c r="Y53" s="14">
        <f t="shared" si="22"/>
        <v>87.192499999999995</v>
      </c>
      <c r="Z53" s="14">
        <f t="shared" si="22"/>
        <v>89.08</v>
      </c>
      <c r="AA53" s="14">
        <f t="shared" si="22"/>
        <v>83.197500000000005</v>
      </c>
      <c r="AB53" s="14">
        <f t="shared" si="22"/>
        <v>83.957499999999996</v>
      </c>
      <c r="AC53" s="14">
        <f t="shared" si="22"/>
        <v>84.077500000000001</v>
      </c>
    </row>
    <row r="54" spans="1:29">
      <c r="A54" s="13" t="s">
        <v>26</v>
      </c>
      <c r="B54" s="13" t="s">
        <v>21</v>
      </c>
      <c r="C54" s="11">
        <v>85874.8</v>
      </c>
      <c r="D54" s="11">
        <v>86441</v>
      </c>
      <c r="E54" s="11">
        <v>85425.7</v>
      </c>
      <c r="F54" s="11">
        <v>85404.5</v>
      </c>
      <c r="G54" s="11">
        <v>85431.8</v>
      </c>
      <c r="H54" s="20"/>
      <c r="K54" s="2"/>
      <c r="L54" s="5"/>
      <c r="M54" s="5"/>
      <c r="N54" s="5"/>
      <c r="O54" s="2"/>
      <c r="P54" s="2"/>
      <c r="R54" s="13" t="s">
        <v>26</v>
      </c>
      <c r="S54" s="13" t="s">
        <v>22</v>
      </c>
      <c r="T54" s="14">
        <f t="shared" si="23"/>
        <v>104.38686024450281</v>
      </c>
      <c r="U54" s="14">
        <f t="shared" si="23"/>
        <v>103.51642467953765</v>
      </c>
      <c r="V54" s="14">
        <f t="shared" si="23"/>
        <v>104.32524651821049</v>
      </c>
      <c r="W54" s="14">
        <f t="shared" si="23"/>
        <v>105.09955379822375</v>
      </c>
      <c r="X54" s="14">
        <f t="shared" si="23"/>
        <v>104.22379151580824</v>
      </c>
      <c r="Y54" s="14">
        <f t="shared" si="22"/>
        <v>47.722499999999997</v>
      </c>
      <c r="Z54" s="14">
        <f t="shared" si="22"/>
        <v>47.377499999999998</v>
      </c>
      <c r="AA54" s="14">
        <f t="shared" si="22"/>
        <v>49.46</v>
      </c>
      <c r="AB54" s="14">
        <f t="shared" si="22"/>
        <v>48.88</v>
      </c>
      <c r="AC54" s="14">
        <f t="shared" si="22"/>
        <v>48.4925</v>
      </c>
    </row>
    <row r="55" spans="1:29">
      <c r="A55" s="13" t="s">
        <v>26</v>
      </c>
      <c r="B55" s="13" t="s">
        <v>20</v>
      </c>
      <c r="C55" s="11">
        <v>87643.7</v>
      </c>
      <c r="D55" s="11">
        <v>87311.9</v>
      </c>
      <c r="E55" s="11">
        <v>87687.1</v>
      </c>
      <c r="F55" s="11">
        <v>87084.7</v>
      </c>
      <c r="G55" s="11">
        <v>86937.600000000006</v>
      </c>
      <c r="H55" s="20"/>
      <c r="K55" s="2"/>
      <c r="L55" s="5"/>
      <c r="M55" s="5"/>
      <c r="N55" s="5"/>
      <c r="O55" s="2"/>
      <c r="P55" s="2"/>
      <c r="R55" s="13" t="s">
        <v>26</v>
      </c>
      <c r="S55" s="13" t="s">
        <v>21</v>
      </c>
      <c r="T55" s="14">
        <f t="shared" si="23"/>
        <v>103.97459321169941</v>
      </c>
      <c r="U55" s="14">
        <f t="shared" si="23"/>
        <v>104.71020900613668</v>
      </c>
      <c r="V55" s="14">
        <f t="shared" si="23"/>
        <v>103.5094160384057</v>
      </c>
      <c r="W55" s="14">
        <f t="shared" si="23"/>
        <v>104.54770808977898</v>
      </c>
      <c r="X55" s="14">
        <f t="shared" si="23"/>
        <v>104.251614139262</v>
      </c>
      <c r="Y55" s="14">
        <f t="shared" si="22"/>
        <v>51.332500000000003</v>
      </c>
      <c r="Z55" s="14">
        <f t="shared" si="22"/>
        <v>51.542499999999997</v>
      </c>
      <c r="AA55" s="14">
        <f t="shared" si="22"/>
        <v>48.39</v>
      </c>
      <c r="AB55" s="14">
        <f t="shared" si="22"/>
        <v>48.575000000000003</v>
      </c>
      <c r="AC55" s="14">
        <f t="shared" si="22"/>
        <v>48.392499999999998</v>
      </c>
    </row>
    <row r="56" spans="1:29">
      <c r="A56" s="13" t="s">
        <v>26</v>
      </c>
      <c r="B56" s="13" t="s">
        <v>19</v>
      </c>
      <c r="C56" s="11">
        <v>89219</v>
      </c>
      <c r="D56" s="11">
        <v>89136.4</v>
      </c>
      <c r="E56" s="11">
        <v>89089.9</v>
      </c>
      <c r="F56" s="11">
        <v>88758.2</v>
      </c>
      <c r="G56" s="11">
        <v>88788.1</v>
      </c>
      <c r="H56" s="20"/>
      <c r="K56" s="2"/>
      <c r="L56" s="5"/>
      <c r="M56" s="5"/>
      <c r="N56" s="5"/>
      <c r="O56" s="2"/>
      <c r="P56" s="2"/>
      <c r="R56" s="13" t="s">
        <v>26</v>
      </c>
      <c r="S56" s="13" t="s">
        <v>20</v>
      </c>
      <c r="T56" s="14">
        <f t="shared" si="23"/>
        <v>106.11632347403686</v>
      </c>
      <c r="U56" s="14">
        <f t="shared" si="23"/>
        <v>105.76517275046453</v>
      </c>
      <c r="V56" s="14">
        <f t="shared" si="23"/>
        <v>106.24953047035362</v>
      </c>
      <c r="W56" s="14">
        <f t="shared" si="23"/>
        <v>106.60452077684401</v>
      </c>
      <c r="X56" s="14">
        <f t="shared" si="23"/>
        <v>106.08912757771117</v>
      </c>
      <c r="Y56" s="14">
        <f t="shared" si="22"/>
        <v>41.58</v>
      </c>
      <c r="Z56" s="14">
        <f t="shared" si="22"/>
        <v>41.21</v>
      </c>
      <c r="AA56" s="14">
        <f t="shared" si="22"/>
        <v>42.192500000000003</v>
      </c>
      <c r="AB56" s="14">
        <f t="shared" si="22"/>
        <v>42.302500000000002</v>
      </c>
      <c r="AC56" s="14">
        <f t="shared" si="22"/>
        <v>43.0075</v>
      </c>
    </row>
    <row r="57" spans="1:29">
      <c r="A57" s="13" t="s">
        <v>26</v>
      </c>
      <c r="B57" s="13" t="s">
        <v>17</v>
      </c>
      <c r="C57" s="11">
        <v>82592.100000000006</v>
      </c>
      <c r="D57" s="11">
        <v>82552.600000000006</v>
      </c>
      <c r="E57" s="11">
        <v>82529.399999999994</v>
      </c>
      <c r="F57" s="11">
        <v>81689.5</v>
      </c>
      <c r="G57" s="11">
        <v>81947.7</v>
      </c>
      <c r="H57" s="20"/>
      <c r="K57" s="2"/>
      <c r="L57" s="5"/>
      <c r="M57" s="5"/>
      <c r="N57" s="5"/>
      <c r="O57" s="2"/>
      <c r="P57" s="2"/>
      <c r="R57" s="13" t="s">
        <v>26</v>
      </c>
      <c r="S57" s="13" t="s">
        <v>19</v>
      </c>
      <c r="T57" s="14">
        <f t="shared" si="23"/>
        <v>108.02364875090957</v>
      </c>
      <c r="U57" s="14">
        <f t="shared" si="23"/>
        <v>107.97527879194597</v>
      </c>
      <c r="V57" s="14">
        <f t="shared" si="23"/>
        <v>107.94928837480946</v>
      </c>
      <c r="W57" s="14">
        <f t="shared" si="23"/>
        <v>108.65313167542952</v>
      </c>
      <c r="X57" s="14">
        <f t="shared" si="23"/>
        <v>108.34727515232277</v>
      </c>
      <c r="Y57" s="14">
        <f t="shared" si="22"/>
        <v>79.11</v>
      </c>
      <c r="Z57" s="14">
        <f t="shared" si="22"/>
        <v>76.122500000000002</v>
      </c>
      <c r="AA57" s="14">
        <f t="shared" si="22"/>
        <v>77.42</v>
      </c>
      <c r="AB57" s="14">
        <f t="shared" si="22"/>
        <v>78.78</v>
      </c>
      <c r="AC57" s="14">
        <f t="shared" si="22"/>
        <v>79.237499999999997</v>
      </c>
    </row>
    <row r="58" spans="1:29">
      <c r="A58" s="13" t="s">
        <v>25</v>
      </c>
      <c r="B58" s="13" t="s">
        <v>23</v>
      </c>
      <c r="C58" s="11">
        <v>220588</v>
      </c>
      <c r="D58" s="11">
        <v>218242</v>
      </c>
      <c r="E58" s="11">
        <v>220337</v>
      </c>
      <c r="F58" s="11">
        <v>219651</v>
      </c>
      <c r="G58" s="11">
        <v>219883</v>
      </c>
      <c r="H58" s="20"/>
      <c r="K58" s="2"/>
      <c r="L58" s="5"/>
      <c r="M58" s="5"/>
      <c r="N58" s="5"/>
      <c r="O58" s="2"/>
      <c r="P58" s="2"/>
      <c r="R58" s="13" t="s">
        <v>26</v>
      </c>
      <c r="S58" s="13" t="s">
        <v>17</v>
      </c>
      <c r="T58" s="14">
        <f t="shared" si="23"/>
        <v>100</v>
      </c>
      <c r="U58" s="14">
        <f t="shared" si="23"/>
        <v>100</v>
      </c>
      <c r="V58" s="14">
        <f t="shared" si="23"/>
        <v>100</v>
      </c>
      <c r="W58" s="14">
        <f t="shared" si="23"/>
        <v>100</v>
      </c>
      <c r="X58" s="14">
        <f t="shared" si="23"/>
        <v>100</v>
      </c>
      <c r="Y58" s="14">
        <f t="shared" si="22"/>
        <v>25.172499999999999</v>
      </c>
      <c r="Z58" s="14">
        <f t="shared" si="22"/>
        <v>24.927499999999998</v>
      </c>
      <c r="AA58" s="14">
        <f t="shared" si="22"/>
        <v>25.717500000000001</v>
      </c>
      <c r="AB58" s="14">
        <f t="shared" si="22"/>
        <v>25.3825</v>
      </c>
      <c r="AC58" s="14">
        <f t="shared" si="22"/>
        <v>25.76</v>
      </c>
    </row>
    <row r="59" spans="1:29">
      <c r="A59" s="13" t="s">
        <v>25</v>
      </c>
      <c r="B59" s="13" t="s">
        <v>31</v>
      </c>
      <c r="C59" s="11">
        <v>230035</v>
      </c>
      <c r="D59" s="11">
        <v>227910</v>
      </c>
      <c r="E59" s="11">
        <v>230657</v>
      </c>
      <c r="F59" s="11">
        <v>228676</v>
      </c>
      <c r="G59" s="11">
        <v>230907</v>
      </c>
      <c r="H59" s="20"/>
      <c r="K59" s="2"/>
      <c r="L59" s="5"/>
      <c r="M59" s="5"/>
      <c r="N59" s="5"/>
      <c r="O59" s="2"/>
      <c r="P59" s="2"/>
      <c r="R59" s="13" t="s">
        <v>25</v>
      </c>
      <c r="S59" s="13" t="s">
        <v>23</v>
      </c>
      <c r="T59" s="14">
        <f t="shared" ref="T59:X64" si="24">T20/T$25*100</f>
        <v>98.106259395319455</v>
      </c>
      <c r="U59" s="14">
        <f t="shared" si="24"/>
        <v>96.344725898588209</v>
      </c>
      <c r="V59" s="14">
        <f t="shared" si="24"/>
        <v>98.541579083891634</v>
      </c>
      <c r="W59" s="14">
        <f t="shared" si="24"/>
        <v>97.895032401258604</v>
      </c>
      <c r="X59" s="14">
        <f t="shared" si="24"/>
        <v>96.708405353459383</v>
      </c>
      <c r="Y59" s="14">
        <f t="shared" si="22"/>
        <v>84.847499999999997</v>
      </c>
      <c r="Z59" s="14">
        <f t="shared" si="22"/>
        <v>84.197500000000005</v>
      </c>
      <c r="AA59" s="14">
        <f t="shared" si="22"/>
        <v>87.21</v>
      </c>
      <c r="AB59" s="14">
        <f t="shared" si="22"/>
        <v>81.19</v>
      </c>
      <c r="AC59" s="14">
        <f t="shared" si="22"/>
        <v>86.43</v>
      </c>
    </row>
    <row r="60" spans="1:29">
      <c r="A60" s="13" t="s">
        <v>25</v>
      </c>
      <c r="B60" s="13" t="s">
        <v>21</v>
      </c>
      <c r="C60" s="11">
        <v>235201</v>
      </c>
      <c r="D60" s="11">
        <v>235158</v>
      </c>
      <c r="E60" s="11">
        <v>230735</v>
      </c>
      <c r="F60" s="11">
        <v>232157</v>
      </c>
      <c r="G60" s="11">
        <v>231401</v>
      </c>
      <c r="H60" s="20"/>
      <c r="K60" s="2"/>
      <c r="L60" s="5"/>
      <c r="M60" s="5"/>
      <c r="N60" s="5"/>
      <c r="O60" s="2"/>
      <c r="P60" s="2"/>
      <c r="R60" s="13" t="s">
        <v>25</v>
      </c>
      <c r="S60" s="13" t="s">
        <v>22</v>
      </c>
      <c r="T60" s="14">
        <f t="shared" si="24"/>
        <v>102.30780178433238</v>
      </c>
      <c r="U60" s="14">
        <f t="shared" si="24"/>
        <v>100.61274401603377</v>
      </c>
      <c r="V60" s="14">
        <f t="shared" si="24"/>
        <v>103.15700498215547</v>
      </c>
      <c r="W60" s="14">
        <f t="shared" si="24"/>
        <v>101.91733445051565</v>
      </c>
      <c r="X60" s="14">
        <f t="shared" si="24"/>
        <v>101.55695417540804</v>
      </c>
      <c r="Y60" s="14">
        <f t="shared" si="22"/>
        <v>55.755000000000003</v>
      </c>
      <c r="Z60" s="14">
        <f t="shared" si="22"/>
        <v>56.292499999999997</v>
      </c>
      <c r="AA60" s="14">
        <f t="shared" si="22"/>
        <v>55.552500000000002</v>
      </c>
      <c r="AB60" s="14">
        <f t="shared" si="22"/>
        <v>56.352499999999999</v>
      </c>
      <c r="AC60" s="14">
        <f t="shared" si="22"/>
        <v>56.777500000000003</v>
      </c>
    </row>
    <row r="61" spans="1:29">
      <c r="A61" s="13" t="s">
        <v>25</v>
      </c>
      <c r="B61" s="13" t="s">
        <v>20</v>
      </c>
      <c r="C61" s="11">
        <v>236181</v>
      </c>
      <c r="D61" s="11">
        <v>239174</v>
      </c>
      <c r="E61" s="11">
        <v>236304</v>
      </c>
      <c r="F61" s="11">
        <v>236620</v>
      </c>
      <c r="G61" s="11">
        <v>237642</v>
      </c>
      <c r="H61" s="20"/>
      <c r="K61" s="2"/>
      <c r="L61" s="5"/>
      <c r="M61" s="5"/>
      <c r="N61" s="5"/>
      <c r="O61" s="2"/>
      <c r="P61" s="2"/>
      <c r="R61" s="13" t="s">
        <v>25</v>
      </c>
      <c r="S61" s="13" t="s">
        <v>21</v>
      </c>
      <c r="T61" s="14">
        <f t="shared" si="24"/>
        <v>104.60537434510732</v>
      </c>
      <c r="U61" s="14">
        <f t="shared" si="24"/>
        <v>103.81243322944349</v>
      </c>
      <c r="V61" s="14">
        <f t="shared" si="24"/>
        <v>103.19188901510748</v>
      </c>
      <c r="W61" s="14">
        <f t="shared" si="24"/>
        <v>103.46876197776926</v>
      </c>
      <c r="X61" s="14">
        <f t="shared" si="24"/>
        <v>101.7742240518633</v>
      </c>
      <c r="Y61" s="14">
        <f t="shared" ref="Y61:AC70" si="25">Y22/$B$35</f>
        <v>63.835000000000001</v>
      </c>
      <c r="Z61" s="14">
        <f t="shared" si="25"/>
        <v>61.274999999999999</v>
      </c>
      <c r="AA61" s="14">
        <f t="shared" si="25"/>
        <v>58.77</v>
      </c>
      <c r="AB61" s="14">
        <f t="shared" si="25"/>
        <v>60.652500000000003</v>
      </c>
      <c r="AC61" s="14">
        <f t="shared" si="25"/>
        <v>59.817500000000003</v>
      </c>
    </row>
    <row r="62" spans="1:29">
      <c r="A62" s="13" t="s">
        <v>25</v>
      </c>
      <c r="B62" s="13" t="s">
        <v>19</v>
      </c>
      <c r="C62" s="11">
        <v>241443</v>
      </c>
      <c r="D62" s="11">
        <v>242298</v>
      </c>
      <c r="E62" s="11">
        <v>239640</v>
      </c>
      <c r="F62" s="11">
        <v>238803</v>
      </c>
      <c r="G62" s="11">
        <v>241299</v>
      </c>
      <c r="H62" s="20"/>
      <c r="K62" s="2"/>
      <c r="L62" s="5"/>
      <c r="M62" s="5"/>
      <c r="N62" s="5"/>
      <c r="O62" s="2"/>
      <c r="P62" s="2"/>
      <c r="R62" s="13" t="s">
        <v>25</v>
      </c>
      <c r="S62" s="13" t="s">
        <v>20</v>
      </c>
      <c r="T62" s="14">
        <f t="shared" si="24"/>
        <v>105.04122821842505</v>
      </c>
      <c r="U62" s="14">
        <f t="shared" si="24"/>
        <v>105.58532946027317</v>
      </c>
      <c r="V62" s="14">
        <f t="shared" si="24"/>
        <v>105.68251952164151</v>
      </c>
      <c r="W62" s="14">
        <f t="shared" si="24"/>
        <v>105.45785162273704</v>
      </c>
      <c r="X62" s="14">
        <f t="shared" si="24"/>
        <v>104.51912546675639</v>
      </c>
      <c r="Y62" s="14">
        <f t="shared" si="25"/>
        <v>55.9925</v>
      </c>
      <c r="Z62" s="14">
        <f t="shared" si="25"/>
        <v>58.555</v>
      </c>
      <c r="AA62" s="14">
        <f t="shared" si="25"/>
        <v>56.0625</v>
      </c>
      <c r="AB62" s="14">
        <f t="shared" si="25"/>
        <v>56.387500000000003</v>
      </c>
      <c r="AC62" s="14">
        <f t="shared" si="25"/>
        <v>56.85</v>
      </c>
    </row>
    <row r="63" spans="1:29">
      <c r="A63" s="13" t="s">
        <v>25</v>
      </c>
      <c r="B63" s="13" t="s">
        <v>17</v>
      </c>
      <c r="C63" s="11">
        <v>224846</v>
      </c>
      <c r="D63" s="11">
        <v>226522</v>
      </c>
      <c r="E63" s="11">
        <v>223598</v>
      </c>
      <c r="F63" s="11">
        <v>224374</v>
      </c>
      <c r="G63" s="11">
        <v>227367</v>
      </c>
      <c r="H63" s="20"/>
      <c r="K63" s="2"/>
      <c r="L63" s="5"/>
      <c r="M63" s="5"/>
      <c r="N63" s="5"/>
      <c r="O63" s="2"/>
      <c r="P63" s="2"/>
      <c r="R63" s="13" t="s">
        <v>25</v>
      </c>
      <c r="S63" s="13" t="s">
        <v>19</v>
      </c>
      <c r="T63" s="14">
        <f t="shared" si="24"/>
        <v>107.3814966688311</v>
      </c>
      <c r="U63" s="14">
        <f t="shared" si="24"/>
        <v>106.96444495457396</v>
      </c>
      <c r="V63" s="14">
        <f t="shared" si="24"/>
        <v>107.1744827771268</v>
      </c>
      <c r="W63" s="14">
        <f t="shared" si="24"/>
        <v>106.43078074999777</v>
      </c>
      <c r="X63" s="14">
        <f t="shared" si="24"/>
        <v>106.12753829711437</v>
      </c>
      <c r="Y63" s="14">
        <f t="shared" si="25"/>
        <v>78.525000000000006</v>
      </c>
      <c r="Z63" s="14">
        <f t="shared" si="25"/>
        <v>80.797499999999999</v>
      </c>
      <c r="AA63" s="14">
        <f t="shared" si="25"/>
        <v>77.202500000000001</v>
      </c>
      <c r="AB63" s="14">
        <f t="shared" si="25"/>
        <v>79.652500000000003</v>
      </c>
      <c r="AC63" s="14">
        <f t="shared" si="25"/>
        <v>82.665000000000006</v>
      </c>
    </row>
    <row r="64" spans="1:29">
      <c r="A64" s="13" t="s">
        <v>24</v>
      </c>
      <c r="B64" s="13" t="s">
        <v>23</v>
      </c>
      <c r="C64" s="11">
        <v>9609.0400000000009</v>
      </c>
      <c r="D64" s="11">
        <v>9503.81</v>
      </c>
      <c r="E64" s="11">
        <v>9543.43</v>
      </c>
      <c r="F64" s="11">
        <v>9639.8700000000008</v>
      </c>
      <c r="G64" s="11">
        <v>9639</v>
      </c>
      <c r="H64" s="20"/>
      <c r="K64" s="2"/>
      <c r="L64" s="5"/>
      <c r="M64" s="5"/>
      <c r="N64" s="5"/>
      <c r="O64" s="2"/>
      <c r="P64" s="2"/>
      <c r="R64" s="13" t="s">
        <v>25</v>
      </c>
      <c r="S64" s="13" t="s">
        <v>17</v>
      </c>
      <c r="T64" s="14">
        <f t="shared" si="24"/>
        <v>100</v>
      </c>
      <c r="U64" s="14">
        <f t="shared" si="24"/>
        <v>100</v>
      </c>
      <c r="V64" s="14">
        <f t="shared" si="24"/>
        <v>100</v>
      </c>
      <c r="W64" s="14">
        <f t="shared" si="24"/>
        <v>100</v>
      </c>
      <c r="X64" s="14">
        <f t="shared" si="24"/>
        <v>100</v>
      </c>
      <c r="Y64" s="14">
        <f t="shared" si="25"/>
        <v>43.465000000000003</v>
      </c>
      <c r="Z64" s="14">
        <f t="shared" si="25"/>
        <v>42.325000000000003</v>
      </c>
      <c r="AA64" s="14">
        <f t="shared" si="25"/>
        <v>41.28</v>
      </c>
      <c r="AB64" s="14">
        <f t="shared" si="25"/>
        <v>40.914999999999999</v>
      </c>
      <c r="AC64" s="14">
        <f t="shared" si="25"/>
        <v>43.957500000000003</v>
      </c>
    </row>
    <row r="65" spans="1:30">
      <c r="A65" s="13" t="s">
        <v>24</v>
      </c>
      <c r="B65" s="13" t="s">
        <v>31</v>
      </c>
      <c r="C65" s="11">
        <v>9866.7099999999991</v>
      </c>
      <c r="D65" s="11">
        <v>9839.33</v>
      </c>
      <c r="E65" s="11">
        <v>9861.6299999999992</v>
      </c>
      <c r="F65" s="11">
        <v>9988.4599999999991</v>
      </c>
      <c r="G65" s="11">
        <v>9951.35</v>
      </c>
      <c r="H65" s="20"/>
      <c r="K65" s="2"/>
      <c r="L65" s="5"/>
      <c r="M65" s="5"/>
      <c r="N65" s="5"/>
      <c r="O65" s="2"/>
      <c r="P65" s="2"/>
      <c r="R65" s="13" t="s">
        <v>24</v>
      </c>
      <c r="S65" s="13" t="s">
        <v>23</v>
      </c>
      <c r="T65" s="14">
        <f t="shared" ref="T65:X70" si="26">T26/T$31*100</f>
        <v>99.260584549336713</v>
      </c>
      <c r="U65" s="14">
        <f t="shared" si="26"/>
        <v>97.885087778023816</v>
      </c>
      <c r="V65" s="14">
        <f t="shared" si="26"/>
        <v>98.469219824201716</v>
      </c>
      <c r="W65" s="14">
        <f t="shared" si="26"/>
        <v>98.558410448150312</v>
      </c>
      <c r="X65" s="14">
        <f t="shared" si="26"/>
        <v>98.298965918130094</v>
      </c>
      <c r="Y65" s="14">
        <f t="shared" si="25"/>
        <v>83.034999999999997</v>
      </c>
      <c r="Z65" s="14">
        <f t="shared" si="25"/>
        <v>84.232500000000002</v>
      </c>
      <c r="AA65" s="14">
        <f t="shared" si="25"/>
        <v>87.745000000000005</v>
      </c>
      <c r="AB65" s="14">
        <f t="shared" si="25"/>
        <v>85.702500000000001</v>
      </c>
      <c r="AC65" s="14">
        <f t="shared" si="25"/>
        <v>86.642499999999998</v>
      </c>
    </row>
    <row r="66" spans="1:30">
      <c r="A66" s="13" t="s">
        <v>24</v>
      </c>
      <c r="B66" s="13" t="s">
        <v>21</v>
      </c>
      <c r="C66" s="11">
        <v>9712.9</v>
      </c>
      <c r="D66" s="11">
        <v>9716.4599999999991</v>
      </c>
      <c r="E66" s="11">
        <v>9837.1</v>
      </c>
      <c r="F66" s="11">
        <v>9969.6</v>
      </c>
      <c r="G66" s="11">
        <v>9809.4599999999991</v>
      </c>
      <c r="H66" s="20"/>
      <c r="K66" s="2"/>
      <c r="L66" s="5"/>
      <c r="M66" s="5"/>
      <c r="N66" s="5"/>
      <c r="O66" s="2"/>
      <c r="P66" s="2"/>
      <c r="R66" s="13" t="s">
        <v>24</v>
      </c>
      <c r="S66" s="13" t="s">
        <v>22</v>
      </c>
      <c r="T66" s="14">
        <f t="shared" si="26"/>
        <v>101.92229423322058</v>
      </c>
      <c r="U66" s="14">
        <f t="shared" si="26"/>
        <v>101.34079708316381</v>
      </c>
      <c r="V66" s="14">
        <f t="shared" si="26"/>
        <v>101.75241106132096</v>
      </c>
      <c r="W66" s="14">
        <f t="shared" si="26"/>
        <v>102.12240833381895</v>
      </c>
      <c r="X66" s="14">
        <f t="shared" si="26"/>
        <v>101.48432560321443</v>
      </c>
      <c r="Y66" s="14">
        <f t="shared" si="25"/>
        <v>55.575000000000003</v>
      </c>
      <c r="Z66" s="14">
        <f t="shared" si="25"/>
        <v>56.267499999999998</v>
      </c>
      <c r="AA66" s="14">
        <f t="shared" si="25"/>
        <v>57.91</v>
      </c>
      <c r="AB66" s="14">
        <f t="shared" si="25"/>
        <v>53.954999999999998</v>
      </c>
      <c r="AC66" s="14">
        <f t="shared" si="25"/>
        <v>55.95</v>
      </c>
    </row>
    <row r="67" spans="1:30">
      <c r="A67" s="13" t="s">
        <v>24</v>
      </c>
      <c r="B67" s="13" t="s">
        <v>20</v>
      </c>
      <c r="C67" s="11">
        <v>10177</v>
      </c>
      <c r="D67" s="11">
        <v>10101.6</v>
      </c>
      <c r="E67" s="11">
        <v>10178.4</v>
      </c>
      <c r="F67" s="11">
        <v>10246.299999999999</v>
      </c>
      <c r="G67" s="11">
        <v>10215.1</v>
      </c>
      <c r="H67" s="20"/>
      <c r="K67" s="2"/>
      <c r="L67" s="5"/>
      <c r="M67" s="5"/>
      <c r="N67" s="5"/>
      <c r="O67" s="2"/>
      <c r="P67" s="2"/>
      <c r="R67" s="13" t="s">
        <v>24</v>
      </c>
      <c r="S67" s="13" t="s">
        <v>21</v>
      </c>
      <c r="T67" s="14">
        <f t="shared" si="26"/>
        <v>100.33344971706357</v>
      </c>
      <c r="U67" s="14">
        <f t="shared" si="26"/>
        <v>100.07528980394783</v>
      </c>
      <c r="V67" s="14">
        <f t="shared" si="26"/>
        <v>101.49931024093588</v>
      </c>
      <c r="W67" s="14">
        <f t="shared" si="26"/>
        <v>101.92958295120987</v>
      </c>
      <c r="X67" s="14">
        <f t="shared" si="26"/>
        <v>100.03732484855901</v>
      </c>
      <c r="Y67" s="14">
        <f t="shared" si="25"/>
        <v>55.527500000000003</v>
      </c>
      <c r="Z67" s="14">
        <f t="shared" si="25"/>
        <v>57.91</v>
      </c>
      <c r="AA67" s="14">
        <f t="shared" si="25"/>
        <v>59.472499999999997</v>
      </c>
      <c r="AB67" s="14">
        <f t="shared" si="25"/>
        <v>55.005000000000003</v>
      </c>
      <c r="AC67" s="14">
        <f t="shared" si="25"/>
        <v>56.472499999999997</v>
      </c>
    </row>
    <row r="68" spans="1:30">
      <c r="A68" s="13" t="s">
        <v>24</v>
      </c>
      <c r="B68" s="13" t="s">
        <v>19</v>
      </c>
      <c r="C68" s="11">
        <v>10345.4</v>
      </c>
      <c r="D68" s="11">
        <v>10339.4</v>
      </c>
      <c r="E68" s="11">
        <v>10341.299999999999</v>
      </c>
      <c r="F68" s="11">
        <v>10471.5</v>
      </c>
      <c r="G68" s="11">
        <v>10440.5</v>
      </c>
      <c r="H68" s="20"/>
      <c r="K68" s="2"/>
      <c r="L68" s="5"/>
      <c r="M68" s="5"/>
      <c r="N68" s="5"/>
      <c r="O68" s="2"/>
      <c r="P68" s="2"/>
      <c r="R68" s="13" t="s">
        <v>24</v>
      </c>
      <c r="S68" s="13" t="s">
        <v>20</v>
      </c>
      <c r="T68" s="14">
        <f t="shared" si="26"/>
        <v>105.1275641436189</v>
      </c>
      <c r="U68" s="14">
        <f t="shared" si="26"/>
        <v>104.04206341440808</v>
      </c>
      <c r="V68" s="14">
        <f t="shared" si="26"/>
        <v>105.02084754209488</v>
      </c>
      <c r="W68" s="14">
        <f t="shared" si="26"/>
        <v>104.75857464622267</v>
      </c>
      <c r="X68" s="14">
        <f t="shared" si="26"/>
        <v>104.17406025005612</v>
      </c>
      <c r="Y68" s="14">
        <f t="shared" si="25"/>
        <v>56.43</v>
      </c>
      <c r="Z68" s="14">
        <f t="shared" si="25"/>
        <v>60.1175</v>
      </c>
      <c r="AA68" s="14">
        <f t="shared" si="25"/>
        <v>55.692500000000003</v>
      </c>
      <c r="AB68" s="14">
        <f t="shared" si="25"/>
        <v>57.977499999999999</v>
      </c>
      <c r="AC68" s="14">
        <f t="shared" si="25"/>
        <v>57.064999999999998</v>
      </c>
    </row>
    <row r="69" spans="1:30">
      <c r="A69" s="13" t="s">
        <v>24</v>
      </c>
      <c r="B69" s="13" t="s">
        <v>17</v>
      </c>
      <c r="C69" s="11">
        <v>9680.6200000000008</v>
      </c>
      <c r="D69" s="11">
        <v>9709.15</v>
      </c>
      <c r="E69" s="11">
        <v>9691.7900000000009</v>
      </c>
      <c r="F69" s="11">
        <v>9780.8700000000008</v>
      </c>
      <c r="G69" s="11">
        <v>9805.7999999999993</v>
      </c>
      <c r="H69" s="20"/>
      <c r="K69" s="2"/>
      <c r="L69" s="5"/>
      <c r="M69" s="5"/>
      <c r="N69" s="5"/>
      <c r="O69" s="2"/>
      <c r="P69" s="2"/>
      <c r="R69" s="13" t="s">
        <v>24</v>
      </c>
      <c r="S69" s="13" t="s">
        <v>19</v>
      </c>
      <c r="T69" s="14">
        <f t="shared" si="26"/>
        <v>106.86712214713519</v>
      </c>
      <c r="U69" s="14">
        <f t="shared" si="26"/>
        <v>106.49129944433859</v>
      </c>
      <c r="V69" s="14">
        <f t="shared" si="26"/>
        <v>106.70165160408962</v>
      </c>
      <c r="W69" s="14">
        <f t="shared" si="26"/>
        <v>107.06102831343223</v>
      </c>
      <c r="X69" s="14">
        <f t="shared" si="26"/>
        <v>106.47269983071243</v>
      </c>
      <c r="Y69" s="14">
        <f t="shared" si="25"/>
        <v>82.31</v>
      </c>
      <c r="Z69" s="14">
        <f t="shared" si="25"/>
        <v>80.53</v>
      </c>
      <c r="AA69" s="14">
        <f t="shared" si="25"/>
        <v>82.517499999999998</v>
      </c>
      <c r="AB69" s="14">
        <f t="shared" si="25"/>
        <v>78.635000000000005</v>
      </c>
      <c r="AC69" s="14">
        <f t="shared" si="25"/>
        <v>78.665000000000006</v>
      </c>
    </row>
    <row r="70" spans="1:30">
      <c r="A70" s="13" t="s">
        <v>18</v>
      </c>
      <c r="B70" s="13" t="s">
        <v>23</v>
      </c>
      <c r="C70" s="11">
        <v>69773.3</v>
      </c>
      <c r="D70" s="11">
        <v>69493.399999999994</v>
      </c>
      <c r="E70" s="11">
        <v>69454</v>
      </c>
      <c r="F70" s="11">
        <v>69754.399999999994</v>
      </c>
      <c r="G70" s="11">
        <v>69092.7</v>
      </c>
      <c r="H70" s="20"/>
      <c r="K70" s="2"/>
      <c r="L70" s="5"/>
      <c r="M70" s="5"/>
      <c r="N70" s="5"/>
      <c r="O70" s="2"/>
      <c r="P70" s="2"/>
      <c r="R70" s="13" t="s">
        <v>24</v>
      </c>
      <c r="S70" s="13" t="s">
        <v>17</v>
      </c>
      <c r="T70" s="14">
        <f t="shared" si="26"/>
        <v>100</v>
      </c>
      <c r="U70" s="14">
        <f t="shared" si="26"/>
        <v>100</v>
      </c>
      <c r="V70" s="14">
        <f t="shared" si="26"/>
        <v>100</v>
      </c>
      <c r="W70" s="14">
        <f t="shared" si="26"/>
        <v>100</v>
      </c>
      <c r="X70" s="14">
        <f t="shared" si="26"/>
        <v>100</v>
      </c>
      <c r="Y70" s="14">
        <f t="shared" si="25"/>
        <v>41.1</v>
      </c>
      <c r="Z70" s="14">
        <f t="shared" si="25"/>
        <v>42.16</v>
      </c>
      <c r="AA70" s="14">
        <f t="shared" si="25"/>
        <v>39.755000000000003</v>
      </c>
      <c r="AB70" s="14">
        <f t="shared" si="25"/>
        <v>41.032499999999999</v>
      </c>
      <c r="AC70" s="14">
        <f t="shared" si="25"/>
        <v>41.327500000000001</v>
      </c>
    </row>
    <row r="71" spans="1:30">
      <c r="A71" s="13" t="s">
        <v>18</v>
      </c>
      <c r="B71" s="13" t="s">
        <v>31</v>
      </c>
      <c r="C71" s="11">
        <v>73537.100000000006</v>
      </c>
      <c r="D71" s="11">
        <v>73312.2</v>
      </c>
      <c r="E71" s="11">
        <v>73456.2</v>
      </c>
      <c r="F71" s="11">
        <v>74454.8</v>
      </c>
      <c r="G71" s="11">
        <v>73586.600000000006</v>
      </c>
      <c r="H71" s="20"/>
      <c r="K71" s="2"/>
      <c r="L71" s="5"/>
      <c r="M71" s="5"/>
      <c r="N71" s="5"/>
      <c r="O71" s="2"/>
      <c r="P71" s="2"/>
      <c r="R71" s="13" t="s">
        <v>18</v>
      </c>
      <c r="S71" s="13" t="s">
        <v>23</v>
      </c>
      <c r="T71" s="14">
        <f t="shared" ref="T71:X76" si="27">T32/T$37*100</f>
        <v>95.815858786435641</v>
      </c>
      <c r="U71" s="14">
        <f t="shared" si="27"/>
        <v>95.487478959843358</v>
      </c>
      <c r="V71" s="14">
        <f t="shared" si="27"/>
        <v>95.524169867814251</v>
      </c>
      <c r="W71" s="14">
        <f t="shared" si="27"/>
        <v>96.681839098302945</v>
      </c>
      <c r="X71" s="14">
        <f t="shared" si="27"/>
        <v>95.979946267777606</v>
      </c>
      <c r="Y71" s="14">
        <f t="shared" ref="Y71:AC76" si="28">Y32/$B$35</f>
        <v>84.867500000000007</v>
      </c>
      <c r="Z71" s="14">
        <f t="shared" si="28"/>
        <v>81.525000000000006</v>
      </c>
      <c r="AA71" s="14">
        <f t="shared" si="28"/>
        <v>83.06</v>
      </c>
      <c r="AB71" s="14">
        <f t="shared" si="28"/>
        <v>80.847499999999997</v>
      </c>
      <c r="AC71" s="14">
        <f t="shared" si="28"/>
        <v>80.314999999999998</v>
      </c>
    </row>
    <row r="72" spans="1:30">
      <c r="A72" s="13" t="s">
        <v>18</v>
      </c>
      <c r="B72" s="13" t="s">
        <v>21</v>
      </c>
      <c r="C72" s="11">
        <v>75689.399999999994</v>
      </c>
      <c r="D72" s="11">
        <v>74814</v>
      </c>
      <c r="E72" s="11">
        <v>74489.7</v>
      </c>
      <c r="F72" s="11">
        <v>74618.3</v>
      </c>
      <c r="G72" s="11">
        <v>75422.399999999994</v>
      </c>
      <c r="H72" s="20"/>
      <c r="K72" s="2"/>
      <c r="L72" s="5"/>
      <c r="M72" s="5"/>
      <c r="N72" s="5"/>
      <c r="O72" s="2"/>
      <c r="P72" s="2"/>
      <c r="R72" s="13" t="s">
        <v>18</v>
      </c>
      <c r="S72" s="13" t="s">
        <v>22</v>
      </c>
      <c r="T72" s="14">
        <f t="shared" si="27"/>
        <v>100.98447958121513</v>
      </c>
      <c r="U72" s="14">
        <f t="shared" si="27"/>
        <v>100.73470509429426</v>
      </c>
      <c r="V72" s="14">
        <f t="shared" si="27"/>
        <v>101.02863084407143</v>
      </c>
      <c r="W72" s="14">
        <f t="shared" si="27"/>
        <v>103.19674448775027</v>
      </c>
      <c r="X72" s="14">
        <f t="shared" si="27"/>
        <v>102.22263587945535</v>
      </c>
      <c r="Y72" s="14">
        <f t="shared" si="28"/>
        <v>55.034999999999997</v>
      </c>
      <c r="Z72" s="14">
        <f t="shared" si="28"/>
        <v>53.602499999999999</v>
      </c>
      <c r="AA72" s="14">
        <f t="shared" si="28"/>
        <v>53.637500000000003</v>
      </c>
      <c r="AB72" s="14">
        <f t="shared" si="28"/>
        <v>55.527500000000003</v>
      </c>
      <c r="AC72" s="14">
        <f t="shared" si="28"/>
        <v>54.6175</v>
      </c>
    </row>
    <row r="73" spans="1:30">
      <c r="A73" s="13" t="s">
        <v>18</v>
      </c>
      <c r="B73" s="13" t="s">
        <v>20</v>
      </c>
      <c r="C73" s="11">
        <v>76502</v>
      </c>
      <c r="D73" s="11">
        <v>76265.3</v>
      </c>
      <c r="E73" s="11">
        <v>76227</v>
      </c>
      <c r="F73" s="11">
        <v>76657</v>
      </c>
      <c r="G73" s="11">
        <v>75871.7</v>
      </c>
      <c r="H73" s="20"/>
      <c r="K73" s="2"/>
      <c r="L73" s="5"/>
      <c r="M73" s="5"/>
      <c r="N73" s="5"/>
      <c r="O73" s="2"/>
      <c r="P73" s="2"/>
      <c r="R73" s="13" t="s">
        <v>18</v>
      </c>
      <c r="S73" s="13" t="s">
        <v>21</v>
      </c>
      <c r="T73" s="14">
        <f t="shared" si="27"/>
        <v>103.94011551739763</v>
      </c>
      <c r="U73" s="14">
        <f t="shared" si="27"/>
        <v>102.79825495517159</v>
      </c>
      <c r="V73" s="14">
        <f t="shared" si="27"/>
        <v>102.45006416048786</v>
      </c>
      <c r="W73" s="14">
        <f t="shared" si="27"/>
        <v>103.42336073980852</v>
      </c>
      <c r="X73" s="14">
        <f t="shared" si="27"/>
        <v>104.77283272164539</v>
      </c>
      <c r="Y73" s="14">
        <f t="shared" si="28"/>
        <v>58.267499999999998</v>
      </c>
      <c r="Z73" s="14">
        <f t="shared" si="28"/>
        <v>60.83</v>
      </c>
      <c r="AA73" s="14">
        <f t="shared" si="28"/>
        <v>59.99</v>
      </c>
      <c r="AB73" s="14">
        <f t="shared" si="28"/>
        <v>59.177500000000002</v>
      </c>
      <c r="AC73" s="14">
        <f t="shared" si="28"/>
        <v>61.8675</v>
      </c>
    </row>
    <row r="74" spans="1:30">
      <c r="A74" s="13" t="s">
        <v>18</v>
      </c>
      <c r="B74" s="13" t="s">
        <v>19</v>
      </c>
      <c r="C74" s="11">
        <v>77794.600000000006</v>
      </c>
      <c r="D74" s="11">
        <v>77080.3</v>
      </c>
      <c r="E74" s="11">
        <v>76898.7</v>
      </c>
      <c r="F74" s="11">
        <v>77372.5</v>
      </c>
      <c r="G74" s="11">
        <v>77793.100000000006</v>
      </c>
      <c r="H74" s="20"/>
      <c r="K74" s="2"/>
      <c r="L74" s="5"/>
      <c r="M74" s="5"/>
      <c r="N74" s="5"/>
      <c r="O74" s="2"/>
      <c r="P74" s="2"/>
      <c r="R74" s="13" t="s">
        <v>18</v>
      </c>
      <c r="S74" s="13" t="s">
        <v>20</v>
      </c>
      <c r="T74" s="14">
        <f t="shared" si="27"/>
        <v>105.05601467724614</v>
      </c>
      <c r="U74" s="14">
        <f t="shared" si="27"/>
        <v>104.79241523822611</v>
      </c>
      <c r="V74" s="14">
        <f t="shared" si="27"/>
        <v>104.83947499804012</v>
      </c>
      <c r="W74" s="14">
        <f t="shared" si="27"/>
        <v>106.24906442831721</v>
      </c>
      <c r="X74" s="14">
        <f t="shared" si="27"/>
        <v>105.39697665954495</v>
      </c>
      <c r="Y74" s="14">
        <f t="shared" si="28"/>
        <v>56.597499999999997</v>
      </c>
      <c r="Z74" s="14">
        <f t="shared" si="28"/>
        <v>57.835000000000001</v>
      </c>
      <c r="AA74" s="14">
        <f t="shared" si="28"/>
        <v>57.854999999999997</v>
      </c>
      <c r="AB74" s="14">
        <f t="shared" si="28"/>
        <v>57.3</v>
      </c>
      <c r="AC74" s="14">
        <f t="shared" si="28"/>
        <v>56.1325</v>
      </c>
      <c r="AD74" s="15"/>
    </row>
    <row r="75" spans="1:30">
      <c r="A75" s="13" t="s">
        <v>18</v>
      </c>
      <c r="B75" s="13" t="s">
        <v>17</v>
      </c>
      <c r="C75" s="11">
        <v>72820.2</v>
      </c>
      <c r="D75" s="11">
        <v>72777.5</v>
      </c>
      <c r="E75" s="11">
        <v>72708.3</v>
      </c>
      <c r="F75" s="11">
        <v>72148.399999999994</v>
      </c>
      <c r="G75" s="11">
        <v>71986.600000000006</v>
      </c>
      <c r="H75" s="20"/>
      <c r="L75" s="5"/>
      <c r="M75" s="5"/>
      <c r="N75" s="5"/>
      <c r="O75" s="2"/>
      <c r="P75" s="2"/>
      <c r="R75" s="13" t="s">
        <v>18</v>
      </c>
      <c r="S75" s="13" t="s">
        <v>19</v>
      </c>
      <c r="T75" s="14">
        <f t="shared" si="27"/>
        <v>106.83107159826532</v>
      </c>
      <c r="U75" s="14">
        <f t="shared" si="27"/>
        <v>105.91226684071313</v>
      </c>
      <c r="V75" s="14">
        <f t="shared" si="27"/>
        <v>105.76330350180103</v>
      </c>
      <c r="W75" s="14">
        <f t="shared" si="27"/>
        <v>107.24077041209507</v>
      </c>
      <c r="X75" s="14">
        <f t="shared" si="27"/>
        <v>108.0660845212859</v>
      </c>
      <c r="Y75" s="14">
        <f t="shared" si="28"/>
        <v>79.180000000000007</v>
      </c>
      <c r="Z75" s="14">
        <f t="shared" si="28"/>
        <v>81.209999999999994</v>
      </c>
      <c r="AA75" s="14">
        <f t="shared" si="28"/>
        <v>80.534999999999997</v>
      </c>
      <c r="AB75" s="14">
        <f t="shared" si="28"/>
        <v>79.3</v>
      </c>
      <c r="AC75" s="14">
        <f t="shared" si="28"/>
        <v>81.412499999999994</v>
      </c>
      <c r="AD75" s="15"/>
    </row>
    <row r="76" spans="1:30">
      <c r="C76" s="11" t="s">
        <v>30</v>
      </c>
      <c r="D76" s="11" t="s">
        <v>30</v>
      </c>
      <c r="E76" s="11" t="s">
        <v>30</v>
      </c>
      <c r="F76" s="11" t="s">
        <v>30</v>
      </c>
      <c r="G76" s="11" t="s">
        <v>30</v>
      </c>
      <c r="L76" s="5"/>
      <c r="M76" s="5"/>
      <c r="N76" s="5"/>
      <c r="O76" s="2"/>
      <c r="P76" s="2"/>
      <c r="R76" s="13" t="s">
        <v>18</v>
      </c>
      <c r="S76" s="13" t="s">
        <v>17</v>
      </c>
      <c r="T76" s="14">
        <f t="shared" si="27"/>
        <v>100</v>
      </c>
      <c r="U76" s="14">
        <f t="shared" si="27"/>
        <v>100</v>
      </c>
      <c r="V76" s="14">
        <f t="shared" si="27"/>
        <v>100</v>
      </c>
      <c r="W76" s="14">
        <f t="shared" si="27"/>
        <v>100</v>
      </c>
      <c r="X76" s="14">
        <f t="shared" si="27"/>
        <v>100</v>
      </c>
      <c r="Y76" s="14">
        <f t="shared" si="28"/>
        <v>38.090000000000003</v>
      </c>
      <c r="Z76" s="14">
        <f t="shared" si="28"/>
        <v>38.82</v>
      </c>
      <c r="AA76" s="14">
        <f t="shared" si="28"/>
        <v>40.072499999999998</v>
      </c>
      <c r="AB76" s="14">
        <f t="shared" si="28"/>
        <v>38.380000000000003</v>
      </c>
      <c r="AC76" s="14">
        <f t="shared" si="28"/>
        <v>39.207500000000003</v>
      </c>
    </row>
    <row r="77" spans="1:30">
      <c r="A77" s="13" t="s">
        <v>28</v>
      </c>
      <c r="B77" s="13" t="s">
        <v>23</v>
      </c>
      <c r="C77" s="11">
        <v>321.52</v>
      </c>
      <c r="D77" s="11">
        <v>323.64</v>
      </c>
      <c r="E77" s="11">
        <v>319.33999999999997</v>
      </c>
      <c r="F77" s="11">
        <v>329.72</v>
      </c>
      <c r="G77" s="11">
        <v>323.85000000000002</v>
      </c>
      <c r="H77" s="20" t="s">
        <v>29</v>
      </c>
      <c r="L77" s="5"/>
      <c r="M77" s="5"/>
      <c r="N77" s="5"/>
      <c r="T77" s="1"/>
      <c r="U77" s="1"/>
      <c r="V77" s="1"/>
      <c r="W77" s="1"/>
      <c r="X77" s="1"/>
    </row>
    <row r="78" spans="1:30">
      <c r="A78" s="13" t="s">
        <v>28</v>
      </c>
      <c r="B78" s="13" t="s">
        <v>22</v>
      </c>
      <c r="C78" s="11">
        <v>214.22</v>
      </c>
      <c r="D78" s="11">
        <v>219.3</v>
      </c>
      <c r="E78" s="11">
        <v>213.49</v>
      </c>
      <c r="F78" s="11">
        <v>206.1</v>
      </c>
      <c r="G78" s="11">
        <v>219</v>
      </c>
      <c r="H78" s="20"/>
      <c r="L78" s="5"/>
      <c r="M78" s="5"/>
      <c r="N78" s="5"/>
      <c r="T78" s="1"/>
      <c r="U78" s="1"/>
      <c r="V78" s="1"/>
      <c r="W78" s="1"/>
      <c r="X78" s="1"/>
    </row>
    <row r="79" spans="1:30">
      <c r="A79" s="13" t="s">
        <v>28</v>
      </c>
      <c r="B79" s="13" t="s">
        <v>21</v>
      </c>
      <c r="C79" s="11">
        <v>231.01</v>
      </c>
      <c r="D79" s="11">
        <v>240.07</v>
      </c>
      <c r="E79" s="11">
        <v>243.32</v>
      </c>
      <c r="F79" s="11">
        <v>235.29</v>
      </c>
      <c r="G79" s="11">
        <v>233.64</v>
      </c>
      <c r="H79" s="20"/>
      <c r="L79" s="5"/>
      <c r="M79" s="5"/>
      <c r="N79" s="5"/>
      <c r="T79" s="1"/>
      <c r="U79" s="1"/>
      <c r="V79" s="1"/>
      <c r="W79" s="1"/>
      <c r="X79" s="1"/>
    </row>
    <row r="80" spans="1:30">
      <c r="A80" s="13" t="s">
        <v>28</v>
      </c>
      <c r="B80" s="13" t="s">
        <v>20</v>
      </c>
      <c r="C80" s="11">
        <v>211.27</v>
      </c>
      <c r="D80" s="11">
        <v>217.3</v>
      </c>
      <c r="E80" s="11">
        <v>217.56</v>
      </c>
      <c r="F80" s="11">
        <v>213.82</v>
      </c>
      <c r="G80" s="11">
        <v>217.35</v>
      </c>
      <c r="H80" s="20"/>
      <c r="L80" s="5"/>
      <c r="M80" s="5"/>
      <c r="N80" s="5"/>
      <c r="T80" s="1"/>
      <c r="U80" s="1"/>
      <c r="V80" s="1"/>
      <c r="W80" s="1"/>
      <c r="X80" s="1"/>
    </row>
    <row r="81" spans="1:24">
      <c r="A81" s="13" t="s">
        <v>28</v>
      </c>
      <c r="B81" s="13" t="s">
        <v>19</v>
      </c>
      <c r="C81" s="11">
        <v>300.08999999999997</v>
      </c>
      <c r="D81" s="11">
        <v>311.43</v>
      </c>
      <c r="E81" s="11">
        <v>318.32</v>
      </c>
      <c r="F81" s="11">
        <v>323.14</v>
      </c>
      <c r="G81" s="11">
        <v>295.62</v>
      </c>
      <c r="H81" s="20"/>
      <c r="L81" s="5"/>
      <c r="M81" s="5"/>
      <c r="N81" s="5"/>
      <c r="T81" s="1"/>
      <c r="U81" s="1"/>
      <c r="V81" s="1"/>
      <c r="W81" s="1"/>
      <c r="X81" s="1"/>
    </row>
    <row r="82" spans="1:24">
      <c r="A82" s="13" t="s">
        <v>28</v>
      </c>
      <c r="B82" s="13" t="s">
        <v>17</v>
      </c>
      <c r="C82" s="11">
        <v>142.16999999999999</v>
      </c>
      <c r="D82" s="11">
        <v>143.28</v>
      </c>
      <c r="E82" s="11">
        <v>141.33000000000001</v>
      </c>
      <c r="F82" s="11">
        <v>147.58000000000001</v>
      </c>
      <c r="G82" s="11">
        <v>140.41999999999999</v>
      </c>
      <c r="H82" s="20"/>
      <c r="L82" s="5"/>
      <c r="M82" s="5"/>
      <c r="N82" s="5"/>
      <c r="T82" s="1"/>
      <c r="U82" s="1"/>
      <c r="V82" s="1"/>
      <c r="W82" s="1"/>
      <c r="X82" s="1"/>
    </row>
    <row r="83" spans="1:24">
      <c r="A83" s="13" t="s">
        <v>27</v>
      </c>
      <c r="B83" s="13" t="s">
        <v>23</v>
      </c>
      <c r="C83" s="11">
        <v>336.21</v>
      </c>
      <c r="D83" s="11">
        <v>326.83999999999997</v>
      </c>
      <c r="E83" s="11">
        <v>338.92</v>
      </c>
      <c r="F83" s="11">
        <v>328.04</v>
      </c>
      <c r="G83" s="11">
        <v>347.08</v>
      </c>
      <c r="H83" s="20"/>
      <c r="L83" s="5"/>
      <c r="M83" s="5"/>
      <c r="N83" s="5"/>
      <c r="T83" s="1"/>
      <c r="U83" s="1"/>
      <c r="V83" s="1"/>
      <c r="W83" s="1"/>
      <c r="X83" s="1"/>
    </row>
    <row r="84" spans="1:24">
      <c r="A84" s="13" t="s">
        <v>27</v>
      </c>
      <c r="B84" s="13" t="s">
        <v>22</v>
      </c>
      <c r="C84" s="11">
        <v>200.98</v>
      </c>
      <c r="D84" s="11">
        <v>201.13</v>
      </c>
      <c r="E84" s="11">
        <v>194.54</v>
      </c>
      <c r="F84" s="11">
        <v>192.71</v>
      </c>
      <c r="G84" s="11">
        <v>201.29</v>
      </c>
      <c r="H84" s="20"/>
      <c r="L84" s="5"/>
      <c r="M84" s="5"/>
      <c r="N84" s="5"/>
      <c r="T84" s="1"/>
      <c r="U84" s="1"/>
      <c r="V84" s="1"/>
      <c r="W84" s="1"/>
      <c r="X84" s="1"/>
    </row>
    <row r="85" spans="1:24">
      <c r="A85" s="13" t="s">
        <v>27</v>
      </c>
      <c r="B85" s="13" t="s">
        <v>21</v>
      </c>
      <c r="C85" s="11">
        <v>209.86</v>
      </c>
      <c r="D85" s="11">
        <v>214.7</v>
      </c>
      <c r="E85" s="11">
        <v>204.51</v>
      </c>
      <c r="F85" s="11">
        <v>204.27</v>
      </c>
      <c r="G85" s="11">
        <v>213.9</v>
      </c>
      <c r="H85" s="20"/>
      <c r="L85" s="5"/>
      <c r="M85" s="5"/>
      <c r="N85" s="5"/>
      <c r="T85" s="1"/>
      <c r="U85" s="1"/>
      <c r="V85" s="1"/>
      <c r="W85" s="1"/>
      <c r="X85" s="1"/>
    </row>
    <row r="86" spans="1:24">
      <c r="A86" s="13" t="s">
        <v>27</v>
      </c>
      <c r="B86" s="13" t="s">
        <v>20</v>
      </c>
      <c r="C86" s="11">
        <v>186.24</v>
      </c>
      <c r="D86" s="11">
        <v>178.43</v>
      </c>
      <c r="E86" s="11">
        <v>191.2</v>
      </c>
      <c r="F86" s="11">
        <v>180.56</v>
      </c>
      <c r="G86" s="11">
        <v>180.69</v>
      </c>
      <c r="H86" s="20"/>
      <c r="L86" s="5"/>
      <c r="M86" s="5"/>
      <c r="N86" s="5"/>
      <c r="T86" s="1"/>
      <c r="U86" s="1"/>
      <c r="V86" s="1"/>
      <c r="W86" s="1"/>
      <c r="X86" s="1"/>
    </row>
    <row r="87" spans="1:24">
      <c r="A87" s="13" t="s">
        <v>27</v>
      </c>
      <c r="B87" s="13" t="s">
        <v>19</v>
      </c>
      <c r="C87" s="11">
        <v>301.88</v>
      </c>
      <c r="D87" s="11">
        <v>328.62</v>
      </c>
      <c r="E87" s="11">
        <v>330.17</v>
      </c>
      <c r="F87" s="11">
        <v>311.45999999999998</v>
      </c>
      <c r="G87" s="11">
        <v>331.77</v>
      </c>
      <c r="H87" s="20"/>
      <c r="L87" s="5"/>
      <c r="M87" s="5"/>
      <c r="N87" s="5"/>
      <c r="T87" s="1"/>
      <c r="U87" s="1"/>
      <c r="V87" s="1"/>
      <c r="W87" s="1"/>
      <c r="X87" s="1"/>
    </row>
    <row r="88" spans="1:24">
      <c r="A88" s="13" t="s">
        <v>27</v>
      </c>
      <c r="B88" s="13" t="s">
        <v>17</v>
      </c>
      <c r="C88" s="11">
        <v>122.43</v>
      </c>
      <c r="D88" s="11">
        <v>114.57</v>
      </c>
      <c r="E88" s="11">
        <v>116.14</v>
      </c>
      <c r="F88" s="11">
        <v>118.23</v>
      </c>
      <c r="G88" s="11">
        <v>117.68</v>
      </c>
      <c r="H88" s="20"/>
      <c r="L88" s="5"/>
      <c r="M88" s="5"/>
      <c r="N88" s="5"/>
      <c r="T88" s="1"/>
      <c r="U88" s="1"/>
      <c r="V88" s="1"/>
      <c r="W88" s="1"/>
      <c r="X88" s="1"/>
    </row>
    <row r="89" spans="1:24">
      <c r="A89" s="13" t="s">
        <v>26</v>
      </c>
      <c r="B89" s="13" t="s">
        <v>23</v>
      </c>
      <c r="C89" s="11">
        <v>348.77</v>
      </c>
      <c r="D89" s="11">
        <v>356.32</v>
      </c>
      <c r="E89" s="11">
        <v>332.79</v>
      </c>
      <c r="F89" s="11">
        <v>335.83</v>
      </c>
      <c r="G89" s="11">
        <v>336.31</v>
      </c>
      <c r="H89" s="20"/>
      <c r="L89" s="5"/>
      <c r="M89" s="5"/>
      <c r="N89" s="5"/>
      <c r="T89" s="1"/>
      <c r="U89" s="1"/>
      <c r="V89" s="1"/>
      <c r="W89" s="1"/>
      <c r="X89" s="1"/>
    </row>
    <row r="90" spans="1:24">
      <c r="A90" s="13" t="s">
        <v>26</v>
      </c>
      <c r="B90" s="13" t="s">
        <v>22</v>
      </c>
      <c r="C90" s="11">
        <v>190.89</v>
      </c>
      <c r="D90" s="11">
        <v>189.51</v>
      </c>
      <c r="E90" s="11">
        <v>197.84</v>
      </c>
      <c r="F90" s="11">
        <v>195.52</v>
      </c>
      <c r="G90" s="11">
        <v>193.97</v>
      </c>
      <c r="H90" s="20"/>
      <c r="L90" s="5"/>
      <c r="M90" s="5"/>
      <c r="N90" s="5"/>
      <c r="T90" s="1"/>
      <c r="U90" s="1"/>
      <c r="V90" s="1"/>
      <c r="W90" s="1"/>
      <c r="X90" s="1"/>
    </row>
    <row r="91" spans="1:24">
      <c r="A91" s="13" t="s">
        <v>26</v>
      </c>
      <c r="B91" s="13" t="s">
        <v>21</v>
      </c>
      <c r="C91" s="11">
        <v>205.33</v>
      </c>
      <c r="D91" s="11">
        <v>206.17</v>
      </c>
      <c r="E91" s="11">
        <v>193.56</v>
      </c>
      <c r="F91" s="11">
        <v>194.3</v>
      </c>
      <c r="G91" s="11">
        <v>193.57</v>
      </c>
      <c r="H91" s="20"/>
      <c r="L91" s="5"/>
      <c r="M91" s="5"/>
      <c r="N91" s="5"/>
      <c r="T91" s="1"/>
      <c r="U91" s="1"/>
      <c r="V91" s="1"/>
      <c r="W91" s="1"/>
      <c r="X91" s="1"/>
    </row>
    <row r="92" spans="1:24">
      <c r="A92" s="13" t="s">
        <v>26</v>
      </c>
      <c r="B92" s="13" t="s">
        <v>20</v>
      </c>
      <c r="C92" s="11">
        <v>166.32</v>
      </c>
      <c r="D92" s="11">
        <v>164.84</v>
      </c>
      <c r="E92" s="11">
        <v>168.77</v>
      </c>
      <c r="F92" s="11">
        <v>169.21</v>
      </c>
      <c r="G92" s="11">
        <v>172.03</v>
      </c>
      <c r="H92" s="20"/>
      <c r="L92" s="5"/>
      <c r="M92" s="5"/>
      <c r="N92" s="5"/>
      <c r="T92" s="1"/>
      <c r="U92" s="1"/>
      <c r="V92" s="1"/>
      <c r="W92" s="1"/>
      <c r="X92" s="1"/>
    </row>
    <row r="93" spans="1:24">
      <c r="A93" s="13" t="s">
        <v>26</v>
      </c>
      <c r="B93" s="13" t="s">
        <v>19</v>
      </c>
      <c r="C93" s="11">
        <v>316.44</v>
      </c>
      <c r="D93" s="11">
        <v>304.49</v>
      </c>
      <c r="E93" s="11">
        <v>309.68</v>
      </c>
      <c r="F93" s="11">
        <v>315.12</v>
      </c>
      <c r="G93" s="11">
        <v>316.95</v>
      </c>
      <c r="H93" s="20"/>
      <c r="L93" s="5"/>
      <c r="M93" s="5"/>
      <c r="N93" s="5"/>
      <c r="T93" s="1"/>
      <c r="U93" s="1"/>
      <c r="V93" s="1"/>
      <c r="W93" s="1"/>
      <c r="X93" s="1"/>
    </row>
    <row r="94" spans="1:24">
      <c r="A94" s="13" t="s">
        <v>26</v>
      </c>
      <c r="B94" s="13" t="s">
        <v>17</v>
      </c>
      <c r="C94" s="11">
        <v>100.69</v>
      </c>
      <c r="D94" s="11">
        <v>99.71</v>
      </c>
      <c r="E94" s="11">
        <v>102.87</v>
      </c>
      <c r="F94" s="11">
        <v>101.53</v>
      </c>
      <c r="G94" s="11">
        <v>103.04</v>
      </c>
      <c r="H94" s="20"/>
      <c r="L94" s="5"/>
      <c r="M94" s="5"/>
      <c r="N94" s="5"/>
      <c r="S94" s="2"/>
      <c r="T94" s="1"/>
      <c r="U94" s="1"/>
      <c r="V94" s="1"/>
      <c r="W94" s="1"/>
      <c r="X94" s="1"/>
    </row>
    <row r="95" spans="1:24">
      <c r="A95" s="13" t="s">
        <v>25</v>
      </c>
      <c r="B95" s="13" t="s">
        <v>23</v>
      </c>
      <c r="C95" s="11">
        <v>339.39</v>
      </c>
      <c r="D95" s="11">
        <v>336.79</v>
      </c>
      <c r="E95" s="11">
        <v>348.84</v>
      </c>
      <c r="F95" s="11">
        <v>324.76</v>
      </c>
      <c r="G95" s="11">
        <v>345.72</v>
      </c>
      <c r="H95" s="20"/>
      <c r="L95" s="5"/>
      <c r="M95" s="5"/>
      <c r="N95" s="5"/>
      <c r="S95" s="2"/>
      <c r="T95" s="1"/>
      <c r="U95" s="1"/>
      <c r="V95" s="1"/>
      <c r="W95" s="1"/>
      <c r="X95" s="1"/>
    </row>
    <row r="96" spans="1:24">
      <c r="A96" s="13" t="s">
        <v>25</v>
      </c>
      <c r="B96" s="13" t="s">
        <v>22</v>
      </c>
      <c r="C96" s="11">
        <v>223.02</v>
      </c>
      <c r="D96" s="11">
        <v>225.17</v>
      </c>
      <c r="E96" s="11">
        <v>222.21</v>
      </c>
      <c r="F96" s="11">
        <v>225.41</v>
      </c>
      <c r="G96" s="11">
        <v>227.11</v>
      </c>
      <c r="H96" s="20"/>
      <c r="L96" s="5"/>
      <c r="M96" s="5"/>
      <c r="N96" s="5"/>
      <c r="S96" s="2"/>
      <c r="T96" s="1"/>
      <c r="U96" s="1"/>
      <c r="V96" s="1"/>
      <c r="W96" s="1"/>
      <c r="X96" s="1"/>
    </row>
    <row r="97" spans="1:24">
      <c r="A97" s="13" t="s">
        <v>25</v>
      </c>
      <c r="B97" s="13" t="s">
        <v>21</v>
      </c>
      <c r="C97" s="11">
        <v>255.34</v>
      </c>
      <c r="D97" s="11">
        <v>245.1</v>
      </c>
      <c r="E97" s="11">
        <v>235.08</v>
      </c>
      <c r="F97" s="11">
        <v>242.61</v>
      </c>
      <c r="G97" s="11">
        <v>239.27</v>
      </c>
      <c r="H97" s="20"/>
      <c r="L97" s="5"/>
      <c r="M97" s="5"/>
      <c r="N97" s="5"/>
      <c r="S97" s="2"/>
      <c r="T97" s="1"/>
      <c r="U97" s="1"/>
      <c r="V97" s="1"/>
      <c r="W97" s="1"/>
      <c r="X97" s="1"/>
    </row>
    <row r="98" spans="1:24">
      <c r="A98" s="13" t="s">
        <v>25</v>
      </c>
      <c r="B98" s="13" t="s">
        <v>20</v>
      </c>
      <c r="C98" s="11">
        <v>223.97</v>
      </c>
      <c r="D98" s="11">
        <v>234.22</v>
      </c>
      <c r="E98" s="11">
        <v>224.25</v>
      </c>
      <c r="F98" s="11">
        <v>225.55</v>
      </c>
      <c r="G98" s="11">
        <v>227.4</v>
      </c>
      <c r="H98" s="20"/>
      <c r="L98" s="5"/>
      <c r="M98" s="5"/>
      <c r="N98" s="5"/>
      <c r="S98" s="2"/>
      <c r="T98" s="1"/>
      <c r="U98" s="1"/>
      <c r="V98" s="1"/>
      <c r="W98" s="1"/>
      <c r="X98" s="1"/>
    </row>
    <row r="99" spans="1:24">
      <c r="A99" s="13" t="s">
        <v>25</v>
      </c>
      <c r="B99" s="13" t="s">
        <v>19</v>
      </c>
      <c r="C99" s="11">
        <v>314.10000000000002</v>
      </c>
      <c r="D99" s="11">
        <v>323.19</v>
      </c>
      <c r="E99" s="11">
        <v>308.81</v>
      </c>
      <c r="F99" s="11">
        <v>318.61</v>
      </c>
      <c r="G99" s="11">
        <v>330.66</v>
      </c>
      <c r="H99" s="20"/>
      <c r="L99" s="5"/>
      <c r="M99" s="5"/>
      <c r="N99" s="5"/>
      <c r="S99" s="2"/>
      <c r="T99" s="1"/>
      <c r="U99" s="1"/>
      <c r="V99" s="1"/>
      <c r="W99" s="1"/>
      <c r="X99" s="1"/>
    </row>
    <row r="100" spans="1:24">
      <c r="A100" s="13" t="s">
        <v>25</v>
      </c>
      <c r="B100" s="13" t="s">
        <v>17</v>
      </c>
      <c r="C100" s="11">
        <v>173.86</v>
      </c>
      <c r="D100" s="11">
        <v>169.3</v>
      </c>
      <c r="E100" s="11">
        <v>165.12</v>
      </c>
      <c r="F100" s="11">
        <v>163.66</v>
      </c>
      <c r="G100" s="11">
        <v>175.83</v>
      </c>
      <c r="H100" s="20"/>
      <c r="L100" s="5"/>
      <c r="M100" s="5"/>
      <c r="N100" s="5"/>
      <c r="S100" s="2"/>
      <c r="T100" s="1"/>
      <c r="U100" s="1"/>
      <c r="V100" s="1"/>
      <c r="W100" s="1"/>
      <c r="X100" s="1"/>
    </row>
    <row r="101" spans="1:24">
      <c r="A101" s="13" t="s">
        <v>24</v>
      </c>
      <c r="B101" s="13" t="s">
        <v>23</v>
      </c>
      <c r="C101" s="11">
        <v>332.14</v>
      </c>
      <c r="D101" s="11">
        <v>336.93</v>
      </c>
      <c r="E101" s="11">
        <v>350.98</v>
      </c>
      <c r="F101" s="11">
        <v>342.81</v>
      </c>
      <c r="G101" s="11">
        <v>346.57</v>
      </c>
      <c r="H101" s="20"/>
      <c r="L101" s="5"/>
      <c r="M101" s="5"/>
      <c r="N101" s="5"/>
      <c r="S101" s="2"/>
      <c r="T101" s="1"/>
      <c r="U101" s="1"/>
      <c r="V101" s="1"/>
      <c r="W101" s="1"/>
      <c r="X101" s="1"/>
    </row>
    <row r="102" spans="1:24">
      <c r="A102" s="13" t="s">
        <v>24</v>
      </c>
      <c r="B102" s="13" t="s">
        <v>22</v>
      </c>
      <c r="C102" s="11">
        <v>222.3</v>
      </c>
      <c r="D102" s="11">
        <v>225.07</v>
      </c>
      <c r="E102" s="11">
        <v>231.64</v>
      </c>
      <c r="F102" s="11">
        <v>215.82</v>
      </c>
      <c r="G102" s="11">
        <v>223.8</v>
      </c>
      <c r="H102" s="20"/>
      <c r="L102" s="5"/>
      <c r="M102" s="5"/>
      <c r="N102" s="5"/>
      <c r="S102" s="2"/>
      <c r="T102" s="1"/>
      <c r="U102" s="1"/>
      <c r="V102" s="1"/>
      <c r="W102" s="1"/>
      <c r="X102" s="1"/>
    </row>
    <row r="103" spans="1:24">
      <c r="A103" s="13" t="s">
        <v>24</v>
      </c>
      <c r="B103" s="13" t="s">
        <v>21</v>
      </c>
      <c r="C103" s="11">
        <v>222.11</v>
      </c>
      <c r="D103" s="11">
        <v>231.64</v>
      </c>
      <c r="E103" s="11">
        <v>237.89</v>
      </c>
      <c r="F103" s="11">
        <v>220.02</v>
      </c>
      <c r="G103" s="11">
        <v>225.89</v>
      </c>
      <c r="H103" s="20"/>
      <c r="L103" s="5"/>
      <c r="M103" s="5"/>
      <c r="N103" s="5"/>
      <c r="S103" s="2"/>
      <c r="T103" s="1"/>
      <c r="U103" s="1"/>
      <c r="V103" s="1"/>
      <c r="W103" s="1"/>
      <c r="X103" s="1"/>
    </row>
    <row r="104" spans="1:24">
      <c r="A104" s="13" t="s">
        <v>24</v>
      </c>
      <c r="B104" s="13" t="s">
        <v>20</v>
      </c>
      <c r="C104" s="11">
        <v>225.72</v>
      </c>
      <c r="D104" s="11">
        <v>240.47</v>
      </c>
      <c r="E104" s="11">
        <v>222.77</v>
      </c>
      <c r="F104" s="11">
        <v>231.91</v>
      </c>
      <c r="G104" s="11">
        <v>228.26</v>
      </c>
      <c r="H104" s="20"/>
      <c r="L104" s="5"/>
      <c r="M104" s="5"/>
      <c r="N104" s="5"/>
      <c r="S104" s="2"/>
      <c r="T104" s="1"/>
      <c r="U104" s="1"/>
      <c r="V104" s="1"/>
      <c r="W104" s="1"/>
      <c r="X104" s="1"/>
    </row>
    <row r="105" spans="1:24">
      <c r="A105" s="13" t="s">
        <v>24</v>
      </c>
      <c r="B105" s="13" t="s">
        <v>19</v>
      </c>
      <c r="C105" s="11">
        <v>329.24</v>
      </c>
      <c r="D105" s="11">
        <v>322.12</v>
      </c>
      <c r="E105" s="11">
        <v>330.07</v>
      </c>
      <c r="F105" s="11">
        <v>314.54000000000002</v>
      </c>
      <c r="G105" s="11">
        <v>314.66000000000003</v>
      </c>
      <c r="H105" s="20"/>
      <c r="L105" s="5"/>
      <c r="M105" s="5"/>
      <c r="N105" s="5"/>
      <c r="S105" s="2"/>
      <c r="T105" s="1"/>
      <c r="U105" s="1"/>
      <c r="V105" s="1"/>
      <c r="W105" s="1"/>
      <c r="X105" s="1"/>
    </row>
    <row r="106" spans="1:24">
      <c r="A106" s="13" t="s">
        <v>24</v>
      </c>
      <c r="B106" s="13" t="s">
        <v>17</v>
      </c>
      <c r="C106" s="11">
        <v>164.4</v>
      </c>
      <c r="D106" s="11">
        <v>168.64</v>
      </c>
      <c r="E106" s="11">
        <v>159.02000000000001</v>
      </c>
      <c r="F106" s="11">
        <v>164.13</v>
      </c>
      <c r="G106" s="11">
        <v>165.31</v>
      </c>
      <c r="H106" s="20"/>
      <c r="L106" s="5"/>
      <c r="M106" s="5"/>
      <c r="N106" s="5"/>
      <c r="S106" s="2"/>
      <c r="T106" s="1"/>
      <c r="U106" s="1"/>
      <c r="V106" s="1"/>
      <c r="W106" s="1"/>
      <c r="X106" s="1"/>
    </row>
    <row r="107" spans="1:24">
      <c r="A107" s="13" t="s">
        <v>18</v>
      </c>
      <c r="B107" s="13" t="s">
        <v>23</v>
      </c>
      <c r="C107" s="11">
        <v>339.47</v>
      </c>
      <c r="D107" s="11">
        <v>326.10000000000002</v>
      </c>
      <c r="E107" s="11">
        <v>332.24</v>
      </c>
      <c r="F107" s="11">
        <v>323.39</v>
      </c>
      <c r="G107" s="11">
        <v>321.26</v>
      </c>
      <c r="H107" s="20"/>
      <c r="L107" s="5"/>
      <c r="M107" s="5"/>
      <c r="N107" s="5"/>
      <c r="S107" s="2"/>
      <c r="T107" s="1"/>
      <c r="U107" s="1"/>
      <c r="V107" s="1"/>
      <c r="W107" s="1"/>
      <c r="X107" s="1"/>
    </row>
    <row r="108" spans="1:24">
      <c r="A108" s="13" t="s">
        <v>18</v>
      </c>
      <c r="B108" s="13" t="s">
        <v>22</v>
      </c>
      <c r="C108" s="11">
        <v>220.14</v>
      </c>
      <c r="D108" s="11">
        <v>214.41</v>
      </c>
      <c r="E108" s="11">
        <v>214.55</v>
      </c>
      <c r="F108" s="11">
        <v>222.11</v>
      </c>
      <c r="G108" s="11">
        <v>218.47</v>
      </c>
      <c r="H108" s="20"/>
      <c r="L108" s="5"/>
      <c r="M108" s="5"/>
      <c r="N108" s="5"/>
      <c r="S108" s="2"/>
      <c r="T108" s="1"/>
      <c r="U108" s="1"/>
      <c r="V108" s="1"/>
      <c r="W108" s="1"/>
      <c r="X108" s="1"/>
    </row>
    <row r="109" spans="1:24">
      <c r="A109" s="13" t="s">
        <v>18</v>
      </c>
      <c r="B109" s="13" t="s">
        <v>21</v>
      </c>
      <c r="C109" s="11">
        <v>233.07</v>
      </c>
      <c r="D109" s="11">
        <v>243.32</v>
      </c>
      <c r="E109" s="11">
        <v>239.96</v>
      </c>
      <c r="F109" s="11">
        <v>236.71</v>
      </c>
      <c r="G109" s="11">
        <v>247.47</v>
      </c>
      <c r="H109" s="20"/>
      <c r="L109" s="5"/>
      <c r="M109" s="5"/>
      <c r="N109" s="5"/>
      <c r="S109" s="2"/>
      <c r="T109" s="1"/>
      <c r="U109" s="1"/>
      <c r="V109" s="1"/>
      <c r="W109" s="1"/>
      <c r="X109" s="1"/>
    </row>
    <row r="110" spans="1:24">
      <c r="A110" s="13" t="s">
        <v>18</v>
      </c>
      <c r="B110" s="13" t="s">
        <v>20</v>
      </c>
      <c r="C110" s="11">
        <v>226.39</v>
      </c>
      <c r="D110" s="11">
        <v>231.34</v>
      </c>
      <c r="E110" s="11">
        <v>231.42</v>
      </c>
      <c r="F110" s="11">
        <v>229.2</v>
      </c>
      <c r="G110" s="11">
        <v>224.53</v>
      </c>
      <c r="H110" s="20"/>
      <c r="L110" s="5"/>
      <c r="M110" s="5"/>
      <c r="N110" s="5"/>
      <c r="S110" s="2"/>
      <c r="T110" s="1"/>
      <c r="U110" s="1"/>
      <c r="V110" s="1"/>
      <c r="W110" s="1"/>
      <c r="X110" s="1"/>
    </row>
    <row r="111" spans="1:24">
      <c r="A111" s="13" t="s">
        <v>18</v>
      </c>
      <c r="B111" s="13" t="s">
        <v>19</v>
      </c>
      <c r="C111" s="11">
        <v>316.72000000000003</v>
      </c>
      <c r="D111" s="11">
        <v>324.83999999999997</v>
      </c>
      <c r="E111" s="11">
        <v>322.14</v>
      </c>
      <c r="F111" s="11">
        <v>317.2</v>
      </c>
      <c r="G111" s="11">
        <v>325.64999999999998</v>
      </c>
      <c r="H111" s="20"/>
      <c r="L111" s="5"/>
      <c r="M111" s="5"/>
      <c r="N111" s="5"/>
      <c r="S111" s="2"/>
      <c r="T111" s="1"/>
      <c r="U111" s="1"/>
      <c r="V111" s="1"/>
      <c r="W111" s="1"/>
      <c r="X111" s="1"/>
    </row>
    <row r="112" spans="1:24">
      <c r="A112" s="13" t="s">
        <v>18</v>
      </c>
      <c r="B112" s="13" t="s">
        <v>17</v>
      </c>
      <c r="C112" s="11">
        <v>152.36000000000001</v>
      </c>
      <c r="D112" s="11">
        <v>155.28</v>
      </c>
      <c r="E112" s="11">
        <v>160.29</v>
      </c>
      <c r="F112" s="11">
        <v>153.52000000000001</v>
      </c>
      <c r="G112" s="11">
        <v>156.83000000000001</v>
      </c>
      <c r="H112" s="20"/>
      <c r="S112" s="2"/>
      <c r="T112" s="1"/>
      <c r="U112" s="1"/>
      <c r="V112" s="1"/>
      <c r="W112" s="1"/>
      <c r="X112" s="1"/>
    </row>
    <row r="113" spans="19:24">
      <c r="S113" s="2"/>
      <c r="T113" s="1"/>
      <c r="U113" s="1"/>
      <c r="V113" s="1"/>
      <c r="W113" s="1"/>
      <c r="X113" s="1"/>
    </row>
    <row r="114" spans="19:24">
      <c r="S114" s="2"/>
      <c r="T114" s="1"/>
      <c r="U114" s="1"/>
      <c r="V114" s="1"/>
      <c r="W114" s="1"/>
      <c r="X114" s="1"/>
    </row>
    <row r="115" spans="19:24">
      <c r="S115" s="2"/>
      <c r="T115" s="1"/>
      <c r="U115" s="1"/>
      <c r="V115" s="1"/>
      <c r="W115" s="1"/>
      <c r="X115" s="1"/>
    </row>
    <row r="116" spans="19:24">
      <c r="S116" s="2"/>
      <c r="T116" s="1"/>
      <c r="U116" s="1"/>
      <c r="V116" s="1"/>
      <c r="W116" s="1"/>
      <c r="X116" s="1"/>
    </row>
    <row r="117" spans="19:24">
      <c r="S117" s="2"/>
      <c r="T117" s="1"/>
      <c r="U117" s="1"/>
      <c r="V117" s="1"/>
      <c r="W117" s="1"/>
      <c r="X117" s="1"/>
    </row>
    <row r="118" spans="19:24">
      <c r="S118" s="2"/>
      <c r="T118" s="1"/>
      <c r="U118" s="1"/>
      <c r="V118" s="1"/>
      <c r="W118" s="1"/>
      <c r="X118" s="1"/>
    </row>
    <row r="119" spans="19:24">
      <c r="S119" s="2"/>
      <c r="T119" s="1"/>
      <c r="U119" s="1"/>
      <c r="V119" s="1"/>
      <c r="W119" s="1"/>
      <c r="X119" s="1"/>
    </row>
    <row r="120" spans="19:24">
      <c r="S120" s="2"/>
      <c r="T120" s="1"/>
      <c r="U120" s="1"/>
      <c r="V120" s="1"/>
      <c r="W120" s="1"/>
      <c r="X120" s="1"/>
    </row>
    <row r="121" spans="19:24">
      <c r="S121" s="2"/>
      <c r="T121" s="1"/>
      <c r="U121" s="1"/>
      <c r="V121" s="1"/>
      <c r="W121" s="1"/>
      <c r="X121" s="1"/>
    </row>
    <row r="122" spans="19:24">
      <c r="S122" s="2"/>
      <c r="T122" s="1"/>
      <c r="U122" s="1"/>
      <c r="V122" s="1"/>
      <c r="W122" s="1"/>
      <c r="X122" s="1"/>
    </row>
    <row r="123" spans="19:24">
      <c r="S123" s="2"/>
      <c r="T123" s="1"/>
      <c r="U123" s="1"/>
      <c r="V123" s="1"/>
      <c r="W123" s="1"/>
      <c r="X123" s="1"/>
    </row>
    <row r="124" spans="19:24">
      <c r="S124" s="2"/>
      <c r="T124" s="1"/>
      <c r="U124" s="1"/>
      <c r="V124" s="1"/>
      <c r="W124" s="1"/>
      <c r="X124" s="1"/>
    </row>
    <row r="125" spans="19:24">
      <c r="S125" s="2"/>
      <c r="T125" s="1"/>
      <c r="U125" s="1"/>
      <c r="V125" s="1"/>
      <c r="W125" s="1"/>
      <c r="X125" s="1"/>
    </row>
    <row r="126" spans="19:24">
      <c r="S126" s="2"/>
      <c r="T126" s="1"/>
      <c r="U126" s="1"/>
      <c r="V126" s="1"/>
      <c r="W126" s="1"/>
      <c r="X126" s="1"/>
    </row>
    <row r="127" spans="19:24">
      <c r="S127" s="2"/>
      <c r="T127" s="1"/>
      <c r="U127" s="1"/>
      <c r="V127" s="1"/>
      <c r="W127" s="1"/>
      <c r="X127" s="1"/>
    </row>
    <row r="128" spans="19:24">
      <c r="T128" s="1"/>
      <c r="U128" s="1"/>
      <c r="V128" s="1"/>
      <c r="W128" s="1"/>
      <c r="X128" s="1"/>
    </row>
    <row r="129" spans="20:24">
      <c r="T129" s="1"/>
      <c r="U129" s="1"/>
      <c r="V129" s="1"/>
      <c r="W129" s="1"/>
      <c r="X129" s="1"/>
    </row>
    <row r="130" spans="20:24">
      <c r="T130" s="1"/>
      <c r="U130" s="1"/>
      <c r="V130" s="1"/>
      <c r="W130" s="1"/>
      <c r="X130" s="1"/>
    </row>
    <row r="131" spans="20:24">
      <c r="T131" s="1"/>
      <c r="U131" s="1"/>
      <c r="V131" s="1"/>
      <c r="W131" s="1"/>
      <c r="X131" s="1"/>
    </row>
    <row r="132" spans="20:24">
      <c r="T132" s="1"/>
      <c r="U132" s="1"/>
      <c r="V132" s="1"/>
      <c r="W132" s="1"/>
      <c r="X132" s="1"/>
    </row>
    <row r="133" spans="20:24">
      <c r="T133" s="1"/>
      <c r="U133" s="1"/>
      <c r="V133" s="1"/>
      <c r="W133" s="1"/>
      <c r="X133" s="1"/>
    </row>
    <row r="134" spans="20:24">
      <c r="T134" s="1"/>
      <c r="U134" s="1"/>
      <c r="V134" s="1"/>
      <c r="W134" s="1"/>
      <c r="X134" s="1"/>
    </row>
    <row r="135" spans="20:24">
      <c r="T135" s="1"/>
      <c r="U135" s="1"/>
      <c r="V135" s="1"/>
      <c r="W135" s="1"/>
      <c r="X135" s="1"/>
    </row>
    <row r="136" spans="20:24">
      <c r="T136" s="1"/>
      <c r="U136" s="1"/>
      <c r="V136" s="1"/>
      <c r="W136" s="1"/>
      <c r="X136" s="1"/>
    </row>
    <row r="137" spans="20:24">
      <c r="T137" s="1"/>
      <c r="U137" s="1"/>
      <c r="V137" s="1"/>
      <c r="W137" s="1"/>
      <c r="X137" s="1"/>
    </row>
    <row r="138" spans="20:24">
      <c r="T138" s="1"/>
      <c r="U138" s="1"/>
      <c r="V138" s="1"/>
      <c r="W138" s="1"/>
      <c r="X138" s="1"/>
    </row>
    <row r="139" spans="20:24">
      <c r="T139" s="1"/>
      <c r="U139" s="1"/>
      <c r="V139" s="1"/>
      <c r="W139" s="1"/>
      <c r="X139" s="1"/>
    </row>
    <row r="140" spans="20:24">
      <c r="T140" s="1"/>
      <c r="U140" s="1"/>
      <c r="V140" s="1"/>
      <c r="W140" s="1"/>
      <c r="X140" s="1"/>
    </row>
    <row r="141" spans="20:24">
      <c r="T141" s="1"/>
      <c r="U141" s="1"/>
      <c r="V141" s="1"/>
      <c r="W141" s="1"/>
      <c r="X141" s="1"/>
    </row>
    <row r="142" spans="20:24">
      <c r="T142" s="1"/>
      <c r="U142" s="1"/>
      <c r="V142" s="1"/>
      <c r="W142" s="1"/>
      <c r="X142" s="1"/>
    </row>
    <row r="143" spans="20:24">
      <c r="T143" s="1"/>
      <c r="U143" s="1"/>
      <c r="V143" s="1"/>
      <c r="W143" s="1"/>
      <c r="X143" s="1"/>
    </row>
    <row r="144" spans="20:24">
      <c r="T144" s="1"/>
      <c r="U144" s="1"/>
      <c r="V144" s="1"/>
      <c r="W144" s="1"/>
      <c r="X144" s="1"/>
    </row>
    <row r="145" spans="20:24">
      <c r="T145" s="1"/>
      <c r="U145" s="1"/>
      <c r="V145" s="1"/>
      <c r="W145" s="1"/>
      <c r="X145" s="1"/>
    </row>
    <row r="146" spans="20:24">
      <c r="T146" s="1"/>
      <c r="U146" s="1"/>
      <c r="V146" s="1"/>
      <c r="W146" s="1"/>
      <c r="X146" s="1"/>
    </row>
    <row r="147" spans="20:24">
      <c r="T147" s="1"/>
      <c r="U147" s="1"/>
      <c r="V147" s="1"/>
      <c r="W147" s="1"/>
      <c r="X147" s="1"/>
    </row>
    <row r="148" spans="20:24">
      <c r="T148" s="1"/>
      <c r="U148" s="1"/>
      <c r="V148" s="1"/>
      <c r="W148" s="1"/>
      <c r="X148" s="1"/>
    </row>
    <row r="149" spans="20:24">
      <c r="T149" s="1"/>
      <c r="U149" s="1"/>
      <c r="V149" s="1"/>
      <c r="W149" s="1"/>
      <c r="X149" s="1"/>
    </row>
    <row r="150" spans="20:24">
      <c r="T150" s="1"/>
      <c r="U150" s="1"/>
      <c r="V150" s="1"/>
      <c r="W150" s="1"/>
      <c r="X150" s="1"/>
    </row>
    <row r="151" spans="20:24">
      <c r="T151" s="1"/>
      <c r="U151" s="1"/>
      <c r="V151" s="1"/>
      <c r="W151" s="1"/>
      <c r="X151" s="1"/>
    </row>
    <row r="152" spans="20:24">
      <c r="T152" s="1"/>
      <c r="U152" s="1"/>
      <c r="V152" s="1"/>
      <c r="W152" s="1"/>
      <c r="X152" s="1"/>
    </row>
    <row r="153" spans="20:24">
      <c r="T153" s="1"/>
      <c r="U153" s="1"/>
      <c r="V153" s="1"/>
      <c r="W153" s="1"/>
      <c r="X153" s="1"/>
    </row>
  </sheetData>
  <mergeCells count="2">
    <mergeCell ref="H40:H75"/>
    <mergeCell ref="H77:H112"/>
  </mergeCells>
  <pageMargins left="0.7" right="0.7" top="0.75" bottom="0.75" header="0.3" footer="0.3"/>
  <pageSetup paperSize="9" orientation="portrait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7377F-CDF4-CD49-A560-1E182C426BB1}">
  <dimension ref="A4:F56"/>
  <sheetViews>
    <sheetView topLeftCell="A31" workbookViewId="0">
      <selection activeCell="C19" sqref="C19"/>
    </sheetView>
  </sheetViews>
  <sheetFormatPr defaultColWidth="10.6640625" defaultRowHeight="15.7"/>
  <sheetData>
    <row r="4" spans="1:6">
      <c r="A4">
        <v>5800</v>
      </c>
    </row>
    <row r="5" spans="1:6">
      <c r="B5" t="s">
        <v>62</v>
      </c>
      <c r="C5" t="s">
        <v>61</v>
      </c>
      <c r="D5" t="s">
        <v>60</v>
      </c>
      <c r="E5" t="s">
        <v>59</v>
      </c>
      <c r="F5" t="s">
        <v>69</v>
      </c>
    </row>
    <row r="6" spans="1:6">
      <c r="A6" t="s">
        <v>28</v>
      </c>
      <c r="B6" s="2">
        <v>2387566</v>
      </c>
      <c r="C6">
        <v>333333</v>
      </c>
      <c r="D6">
        <v>105000</v>
      </c>
      <c r="E6">
        <v>169873</v>
      </c>
      <c r="F6">
        <f t="shared" ref="F6:F11" si="0">SUM(B6:E6)</f>
        <v>2995772</v>
      </c>
    </row>
    <row r="7" spans="1:6">
      <c r="A7" t="s">
        <v>27</v>
      </c>
      <c r="B7" s="2">
        <v>2147013</v>
      </c>
      <c r="C7">
        <v>274671</v>
      </c>
      <c r="D7">
        <v>65000</v>
      </c>
      <c r="E7">
        <v>110000</v>
      </c>
      <c r="F7">
        <f t="shared" si="0"/>
        <v>2596684</v>
      </c>
    </row>
    <row r="8" spans="1:6">
      <c r="A8" t="s">
        <v>26</v>
      </c>
      <c r="B8" s="2">
        <v>2886883</v>
      </c>
      <c r="C8">
        <v>348600</v>
      </c>
      <c r="D8">
        <v>40900</v>
      </c>
      <c r="E8">
        <v>100000</v>
      </c>
      <c r="F8">
        <f t="shared" si="0"/>
        <v>3376383</v>
      </c>
    </row>
    <row r="9" spans="1:6">
      <c r="A9" t="s">
        <v>25</v>
      </c>
      <c r="B9" s="2">
        <v>2020895</v>
      </c>
      <c r="C9">
        <v>272000</v>
      </c>
      <c r="D9">
        <v>77900</v>
      </c>
      <c r="E9">
        <v>170000</v>
      </c>
      <c r="F9">
        <f t="shared" si="0"/>
        <v>2540795</v>
      </c>
    </row>
    <row r="10" spans="1:6">
      <c r="A10" t="s">
        <v>24</v>
      </c>
      <c r="B10" s="2">
        <v>1328407</v>
      </c>
      <c r="C10">
        <v>174300</v>
      </c>
      <c r="D10">
        <v>17300</v>
      </c>
      <c r="E10">
        <v>30000</v>
      </c>
      <c r="F10">
        <f t="shared" si="0"/>
        <v>1550007</v>
      </c>
    </row>
    <row r="11" spans="1:6">
      <c r="A11" t="s">
        <v>18</v>
      </c>
      <c r="B11" s="2">
        <v>2379846</v>
      </c>
      <c r="C11">
        <v>325527</v>
      </c>
      <c r="D11">
        <v>105100</v>
      </c>
      <c r="E11">
        <v>230000</v>
      </c>
      <c r="F11">
        <f t="shared" si="0"/>
        <v>3040473</v>
      </c>
    </row>
    <row r="13" spans="1:6">
      <c r="A13">
        <v>5800</v>
      </c>
      <c r="B13" t="s">
        <v>62</v>
      </c>
      <c r="C13" t="s">
        <v>61</v>
      </c>
      <c r="D13" t="s">
        <v>60</v>
      </c>
      <c r="E13" t="s">
        <v>59</v>
      </c>
    </row>
    <row r="14" spans="1:6">
      <c r="A14" t="s">
        <v>28</v>
      </c>
      <c r="B14">
        <f t="shared" ref="B14:E19" si="1">B6/$F6</f>
        <v>0.7969785417581845</v>
      </c>
      <c r="C14">
        <f t="shared" si="1"/>
        <v>0.11126781343840586</v>
      </c>
      <c r="D14">
        <f t="shared" si="1"/>
        <v>3.5049396282494129E-2</v>
      </c>
      <c r="E14">
        <f t="shared" si="1"/>
        <v>5.6704248520915476E-2</v>
      </c>
    </row>
    <row r="15" spans="1:6">
      <c r="A15" t="s">
        <v>27</v>
      </c>
      <c r="B15">
        <f t="shared" si="1"/>
        <v>0.826828755443481</v>
      </c>
      <c r="C15">
        <f t="shared" si="1"/>
        <v>0.10577759943065848</v>
      </c>
      <c r="D15">
        <f t="shared" si="1"/>
        <v>2.5031925332462478E-2</v>
      </c>
      <c r="E15">
        <f t="shared" si="1"/>
        <v>4.2361719793398041E-2</v>
      </c>
    </row>
    <row r="16" spans="1:6">
      <c r="A16" t="s">
        <v>26</v>
      </c>
      <c r="B16">
        <f t="shared" si="1"/>
        <v>0.85502237157336713</v>
      </c>
      <c r="C16">
        <f t="shared" si="1"/>
        <v>0.10324658073447236</v>
      </c>
      <c r="D16">
        <f t="shared" si="1"/>
        <v>1.2113554653011817E-2</v>
      </c>
      <c r="E16">
        <f t="shared" si="1"/>
        <v>2.96174930391487E-2</v>
      </c>
    </row>
    <row r="17" spans="1:6">
      <c r="A17" t="s">
        <v>25</v>
      </c>
      <c r="B17">
        <f t="shared" si="1"/>
        <v>0.79537900539004525</v>
      </c>
      <c r="C17">
        <f t="shared" si="1"/>
        <v>0.10705310739355202</v>
      </c>
      <c r="D17">
        <f t="shared" si="1"/>
        <v>3.0659695095432728E-2</v>
      </c>
      <c r="E17">
        <f t="shared" si="1"/>
        <v>6.6908192120970017E-2</v>
      </c>
    </row>
    <row r="18" spans="1:6">
      <c r="A18" t="s">
        <v>24</v>
      </c>
      <c r="B18">
        <f t="shared" si="1"/>
        <v>0.85703290372237029</v>
      </c>
      <c r="C18">
        <f t="shared" si="1"/>
        <v>0.11245110505952553</v>
      </c>
      <c r="D18">
        <f t="shared" si="1"/>
        <v>1.1161239916981021E-2</v>
      </c>
      <c r="E18">
        <f t="shared" si="1"/>
        <v>1.9354751301123158E-2</v>
      </c>
    </row>
    <row r="19" spans="1:6">
      <c r="A19" t="s">
        <v>18</v>
      </c>
      <c r="B19">
        <f t="shared" si="1"/>
        <v>0.78272229353788048</v>
      </c>
      <c r="C19">
        <f t="shared" si="1"/>
        <v>0.10706459159479463</v>
      </c>
      <c r="D19">
        <f t="shared" si="1"/>
        <v>3.4566990070294984E-2</v>
      </c>
      <c r="E19">
        <f t="shared" si="1"/>
        <v>7.5646124797029937E-2</v>
      </c>
    </row>
    <row r="20" spans="1:6">
      <c r="A20" t="s">
        <v>41</v>
      </c>
      <c r="B20">
        <f>AVERAGE(B14:B19)</f>
        <v>0.81899397857088818</v>
      </c>
      <c r="C20">
        <f>AVERAGE(C14:C19)</f>
        <v>0.10781013294190149</v>
      </c>
      <c r="D20">
        <f>AVERAGE(D14:D19)</f>
        <v>2.4763800225112858E-2</v>
      </c>
      <c r="E20">
        <f>AVERAGE(E14:E19)</f>
        <v>4.8432088262097557E-2</v>
      </c>
    </row>
    <row r="22" spans="1:6">
      <c r="A22">
        <v>983</v>
      </c>
    </row>
    <row r="23" spans="1:6">
      <c r="B23" t="s">
        <v>62</v>
      </c>
      <c r="C23" t="s">
        <v>61</v>
      </c>
      <c r="D23" t="s">
        <v>60</v>
      </c>
      <c r="E23" t="s">
        <v>59</v>
      </c>
      <c r="F23" t="s">
        <v>69</v>
      </c>
    </row>
    <row r="24" spans="1:6">
      <c r="A24" t="s">
        <v>28</v>
      </c>
      <c r="B24" s="2">
        <v>2139506</v>
      </c>
      <c r="C24">
        <v>573200</v>
      </c>
      <c r="D24">
        <v>5400</v>
      </c>
      <c r="E24">
        <v>280000</v>
      </c>
      <c r="F24">
        <f t="shared" ref="F24:F29" si="2">SUM(B24:E24)</f>
        <v>2998106</v>
      </c>
    </row>
    <row r="25" spans="1:6">
      <c r="A25" t="s">
        <v>27</v>
      </c>
      <c r="B25" s="2">
        <v>2062966</v>
      </c>
      <c r="C25">
        <v>459013</v>
      </c>
      <c r="D25">
        <v>2500</v>
      </c>
      <c r="E25">
        <v>130428</v>
      </c>
      <c r="F25">
        <f t="shared" si="2"/>
        <v>2654907</v>
      </c>
    </row>
    <row r="26" spans="1:6">
      <c r="A26" t="s">
        <v>26</v>
      </c>
      <c r="B26" s="2">
        <v>2736178</v>
      </c>
      <c r="C26">
        <v>552900</v>
      </c>
      <c r="D26">
        <v>3600</v>
      </c>
      <c r="E26">
        <v>170000</v>
      </c>
      <c r="F26">
        <f t="shared" si="2"/>
        <v>3462678</v>
      </c>
    </row>
    <row r="27" spans="1:6">
      <c r="A27" t="s">
        <v>25</v>
      </c>
      <c r="B27" s="2">
        <v>1849668</v>
      </c>
      <c r="C27">
        <v>411602</v>
      </c>
      <c r="D27">
        <v>5500</v>
      </c>
      <c r="E27">
        <v>299474</v>
      </c>
      <c r="F27">
        <f t="shared" si="2"/>
        <v>2566244</v>
      </c>
    </row>
    <row r="28" spans="1:6">
      <c r="A28" t="s">
        <v>24</v>
      </c>
      <c r="B28" s="2">
        <v>1119139</v>
      </c>
      <c r="C28">
        <v>288100</v>
      </c>
      <c r="D28">
        <v>2600</v>
      </c>
      <c r="E28">
        <v>175533</v>
      </c>
      <c r="F28">
        <f t="shared" si="2"/>
        <v>1585372</v>
      </c>
    </row>
    <row r="29" spans="1:6">
      <c r="A29" t="s">
        <v>18</v>
      </c>
      <c r="B29" s="2">
        <v>2193838</v>
      </c>
      <c r="C29">
        <v>564421</v>
      </c>
      <c r="D29">
        <v>6100</v>
      </c>
      <c r="E29">
        <v>301390</v>
      </c>
      <c r="F29">
        <f t="shared" si="2"/>
        <v>3065749</v>
      </c>
    </row>
    <row r="31" spans="1:6">
      <c r="A31">
        <v>983</v>
      </c>
      <c r="B31" t="s">
        <v>62</v>
      </c>
      <c r="C31" t="s">
        <v>61</v>
      </c>
      <c r="D31" t="s">
        <v>60</v>
      </c>
      <c r="E31" t="s">
        <v>59</v>
      </c>
    </row>
    <row r="32" spans="1:6">
      <c r="A32" t="s">
        <v>28</v>
      </c>
      <c r="B32">
        <f t="shared" ref="B32:E37" si="3">B24/$F24</f>
        <v>0.71361919825383091</v>
      </c>
      <c r="C32">
        <f t="shared" si="3"/>
        <v>0.1911873696260239</v>
      </c>
      <c r="D32">
        <f t="shared" si="3"/>
        <v>1.8011371179004344E-3</v>
      </c>
      <c r="E32">
        <f t="shared" si="3"/>
        <v>9.3392295002244746E-2</v>
      </c>
    </row>
    <row r="33" spans="1:6">
      <c r="A33" t="s">
        <v>27</v>
      </c>
      <c r="B33">
        <f t="shared" si="3"/>
        <v>0.77703889439441753</v>
      </c>
      <c r="C33">
        <f t="shared" si="3"/>
        <v>0.17289230846880888</v>
      </c>
      <c r="D33">
        <f t="shared" si="3"/>
        <v>9.4165257012769187E-4</v>
      </c>
      <c r="E33">
        <f t="shared" si="3"/>
        <v>4.9127144566645839E-2</v>
      </c>
    </row>
    <row r="34" spans="1:6">
      <c r="A34" t="s">
        <v>26</v>
      </c>
      <c r="B34">
        <f t="shared" si="3"/>
        <v>0.790191291249143</v>
      </c>
      <c r="C34">
        <f t="shared" si="3"/>
        <v>0.15967410195230397</v>
      </c>
      <c r="D34">
        <f t="shared" si="3"/>
        <v>1.0396577446704545E-3</v>
      </c>
      <c r="E34">
        <f t="shared" si="3"/>
        <v>4.9094949053882571E-2</v>
      </c>
    </row>
    <row r="35" spans="1:6">
      <c r="A35" t="s">
        <v>25</v>
      </c>
      <c r="B35">
        <f t="shared" si="3"/>
        <v>0.72076856292698588</v>
      </c>
      <c r="C35">
        <f t="shared" si="3"/>
        <v>0.16039082799609078</v>
      </c>
      <c r="D35">
        <f t="shared" si="3"/>
        <v>2.1432100766723664E-3</v>
      </c>
      <c r="E35">
        <f t="shared" si="3"/>
        <v>0.11669739900025095</v>
      </c>
    </row>
    <row r="36" spans="1:6">
      <c r="A36" t="s">
        <v>24</v>
      </c>
      <c r="B36">
        <f t="shared" si="3"/>
        <v>0.70591570937294212</v>
      </c>
      <c r="C36">
        <f t="shared" si="3"/>
        <v>0.18172391085499176</v>
      </c>
      <c r="D36">
        <f t="shared" si="3"/>
        <v>1.6399936418708039E-3</v>
      </c>
      <c r="E36">
        <f t="shared" si="3"/>
        <v>0.11072038613019532</v>
      </c>
    </row>
    <row r="37" spans="1:6">
      <c r="A37" t="s">
        <v>18</v>
      </c>
      <c r="B37">
        <f t="shared" si="3"/>
        <v>0.71559609087371467</v>
      </c>
      <c r="C37">
        <f t="shared" si="3"/>
        <v>0.18410541763203706</v>
      </c>
      <c r="D37">
        <f t="shared" si="3"/>
        <v>1.9897258386123587E-3</v>
      </c>
      <c r="E37">
        <f t="shared" si="3"/>
        <v>9.8308765655635871E-2</v>
      </c>
    </row>
    <row r="38" spans="1:6">
      <c r="A38" t="s">
        <v>41</v>
      </c>
      <c r="B38">
        <f>AVERAGE(B32:B37)</f>
        <v>0.73718829117850582</v>
      </c>
      <c r="C38">
        <f>AVERAGE(C32:C37)</f>
        <v>0.17499565608837608</v>
      </c>
      <c r="D38">
        <f>AVERAGE(D32:D37)</f>
        <v>1.5925628316423516E-3</v>
      </c>
      <c r="E38">
        <f>AVERAGE(E32:E37)</f>
        <v>8.622348990147588E-2</v>
      </c>
    </row>
    <row r="40" spans="1:6">
      <c r="A40" s="19" t="s">
        <v>63</v>
      </c>
      <c r="B40" s="19"/>
      <c r="C40" s="19"/>
      <c r="D40" s="19"/>
      <c r="E40" s="19"/>
      <c r="F40" s="19"/>
    </row>
    <row r="41" spans="1:6">
      <c r="A41" s="19"/>
      <c r="B41" s="19" t="s">
        <v>68</v>
      </c>
      <c r="C41" s="19" t="s">
        <v>67</v>
      </c>
      <c r="D41" s="19" t="s">
        <v>66</v>
      </c>
      <c r="E41" s="19" t="s">
        <v>65</v>
      </c>
      <c r="F41" s="19" t="s">
        <v>64</v>
      </c>
    </row>
    <row r="42" spans="1:6">
      <c r="A42" s="19" t="s">
        <v>58</v>
      </c>
      <c r="B42" s="2">
        <v>1939914</v>
      </c>
      <c r="C42" s="19">
        <v>478864</v>
      </c>
      <c r="D42" s="19">
        <v>10300</v>
      </c>
      <c r="E42" s="19">
        <v>610000</v>
      </c>
      <c r="F42" s="19">
        <v>3039078</v>
      </c>
    </row>
    <row r="43" spans="1:6">
      <c r="A43" s="19" t="s">
        <v>57</v>
      </c>
      <c r="B43" s="2">
        <v>1964813</v>
      </c>
      <c r="C43" s="19">
        <v>410000</v>
      </c>
      <c r="D43" s="19">
        <v>6000</v>
      </c>
      <c r="E43" s="19">
        <v>303909</v>
      </c>
      <c r="F43" s="19">
        <v>2684722</v>
      </c>
    </row>
    <row r="44" spans="1:6">
      <c r="A44" s="19" t="s">
        <v>56</v>
      </c>
      <c r="B44" s="2">
        <v>2722941</v>
      </c>
      <c r="C44" s="19">
        <v>426157</v>
      </c>
      <c r="D44" s="19">
        <v>7700</v>
      </c>
      <c r="E44" s="19">
        <v>359767</v>
      </c>
      <c r="F44" s="19">
        <v>3516565</v>
      </c>
    </row>
    <row r="45" spans="1:6">
      <c r="A45" s="19" t="s">
        <v>55</v>
      </c>
      <c r="B45" s="2">
        <v>1692145</v>
      </c>
      <c r="C45" s="19">
        <v>393194</v>
      </c>
      <c r="D45" s="19">
        <v>8001</v>
      </c>
      <c r="E45" s="19">
        <v>500000</v>
      </c>
      <c r="F45" s="19">
        <v>2593340</v>
      </c>
    </row>
    <row r="46" spans="1:6">
      <c r="A46" s="19" t="s">
        <v>54</v>
      </c>
      <c r="B46" s="2">
        <v>1360576</v>
      </c>
      <c r="C46" s="19">
        <v>220400</v>
      </c>
      <c r="D46" s="19">
        <v>1200</v>
      </c>
      <c r="E46" s="19">
        <v>50000</v>
      </c>
      <c r="F46" s="19">
        <v>1632176</v>
      </c>
    </row>
    <row r="47" spans="1:6">
      <c r="A47" s="19" t="s">
        <v>53</v>
      </c>
      <c r="B47" s="2">
        <v>1898721</v>
      </c>
      <c r="C47" s="19">
        <v>475900</v>
      </c>
      <c r="D47" s="19">
        <v>11300</v>
      </c>
      <c r="E47" s="19">
        <v>700000</v>
      </c>
      <c r="F47" s="19">
        <v>3085921</v>
      </c>
    </row>
    <row r="48" spans="1:6">
      <c r="A48" s="19"/>
      <c r="B48" s="19"/>
      <c r="C48" s="19"/>
      <c r="D48" s="19"/>
      <c r="E48" s="19"/>
      <c r="F48" s="19"/>
    </row>
    <row r="49" spans="1:6">
      <c r="A49" s="19" t="s">
        <v>63</v>
      </c>
      <c r="B49" t="s">
        <v>62</v>
      </c>
      <c r="C49" t="s">
        <v>61</v>
      </c>
      <c r="D49" t="s">
        <v>60</v>
      </c>
      <c r="E49" t="s">
        <v>59</v>
      </c>
      <c r="F49" s="19"/>
    </row>
    <row r="50" spans="1:6">
      <c r="A50" s="19" t="s">
        <v>58</v>
      </c>
      <c r="B50" s="19">
        <v>0.63832319999999998</v>
      </c>
      <c r="C50" s="19">
        <v>0.15756883999999999</v>
      </c>
      <c r="D50" s="19">
        <v>3.3891899999999998E-3</v>
      </c>
      <c r="E50" s="19">
        <v>0.20071876999999999</v>
      </c>
      <c r="F50" s="19"/>
    </row>
    <row r="51" spans="1:6">
      <c r="A51" s="19" t="s">
        <v>57</v>
      </c>
      <c r="B51" s="19">
        <v>0.73184970000000005</v>
      </c>
      <c r="C51" s="19">
        <v>0.15271599999999999</v>
      </c>
      <c r="D51" s="19">
        <v>2.2348699999999999E-3</v>
      </c>
      <c r="E51" s="19">
        <v>0.11319943</v>
      </c>
      <c r="F51" s="19"/>
    </row>
    <row r="52" spans="1:6">
      <c r="A52" s="19" t="s">
        <v>56</v>
      </c>
      <c r="B52" s="19">
        <v>0.77431839999999996</v>
      </c>
      <c r="C52" s="19">
        <v>0.12118559</v>
      </c>
      <c r="D52" s="19">
        <v>2.1896400000000001E-3</v>
      </c>
      <c r="E52" s="19">
        <v>0.10230636999999999</v>
      </c>
      <c r="F52" s="19"/>
    </row>
    <row r="53" spans="1:6">
      <c r="A53" s="19" t="s">
        <v>55</v>
      </c>
      <c r="B53" s="19">
        <v>0.65249639000000004</v>
      </c>
      <c r="C53" s="19">
        <v>0.15161683000000001</v>
      </c>
      <c r="D53" s="19">
        <v>3.0852100000000001E-3</v>
      </c>
      <c r="E53" s="19">
        <v>0.19280156000000001</v>
      </c>
      <c r="F53" s="19"/>
    </row>
    <row r="54" spans="1:6">
      <c r="A54" s="19" t="s">
        <v>54</v>
      </c>
      <c r="B54" s="19">
        <v>0.83359638000000003</v>
      </c>
      <c r="C54" s="19">
        <v>0.13503446</v>
      </c>
      <c r="D54" s="19">
        <v>7.3521000000000003E-4</v>
      </c>
      <c r="E54" s="19">
        <v>3.063395E-2</v>
      </c>
      <c r="F54" s="19"/>
    </row>
    <row r="55" spans="1:6">
      <c r="A55" s="19" t="s">
        <v>53</v>
      </c>
      <c r="B55" s="19">
        <v>0.61528503000000001</v>
      </c>
      <c r="C55" s="19">
        <v>0.15421652</v>
      </c>
      <c r="D55" s="19">
        <v>3.6617899999999998E-3</v>
      </c>
      <c r="E55" s="19">
        <v>0.22683666</v>
      </c>
      <c r="F55" s="19"/>
    </row>
    <row r="56" spans="1:6">
      <c r="A56" t="s">
        <v>41</v>
      </c>
      <c r="B56" s="19">
        <v>0.70764484999999999</v>
      </c>
      <c r="C56" s="19">
        <v>0.14538971000000001</v>
      </c>
      <c r="D56" s="19">
        <v>2.5493199999999999E-3</v>
      </c>
      <c r="E56" s="19">
        <v>0.14441612000000001</v>
      </c>
      <c r="F56" s="1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4KRR Optane (nvme1n1)</vt:lpstr>
      <vt:lpstr>4KRR ZSSD (nvme2n1)</vt:lpstr>
      <vt:lpstr>4KRR P41 (nvme0n1)</vt:lpstr>
      <vt:lpstr>8-128KRR Optane (nvme1n1)</vt:lpstr>
      <vt:lpstr>8-128KRR ZSSD (nvme2n1)</vt:lpstr>
      <vt:lpstr>8-128KRR P41 (nvme0n1)</vt:lpstr>
      <vt:lpstr>Optane (nvme1n1)</vt:lpstr>
      <vt:lpstr>P41 (nvme0n1)</vt:lpstr>
      <vt:lpstr>983 (nvme2n1)</vt:lpstr>
      <vt:lpstr>DPAS BREAK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Ping-Xiang Chen</cp:lastModifiedBy>
  <dcterms:created xsi:type="dcterms:W3CDTF">2023-07-29T01:16:37Z</dcterms:created>
  <dcterms:modified xsi:type="dcterms:W3CDTF">2025-12-29T06:01:42Z</dcterms:modified>
</cp:coreProperties>
</file>